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AE174FB2-41BD-434E-A9A6-E5A6F8B234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 17 LU" sheetId="2" r:id="rId1"/>
    <sheet name="Contoh 17 LU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3" l="1"/>
  <c r="D36" i="3" s="1"/>
  <c r="E36" i="3" s="1"/>
  <c r="F36" i="3" s="1"/>
  <c r="G36" i="3" s="1"/>
  <c r="H36" i="3" s="1"/>
  <c r="I36" i="3" s="1"/>
  <c r="J36" i="3" s="1"/>
  <c r="K36" i="3" s="1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V36" i="3" s="1"/>
  <c r="W36" i="3" s="1"/>
  <c r="C7" i="3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C36" i="2"/>
  <c r="D36" i="2" s="1"/>
  <c r="E36" i="2" s="1"/>
  <c r="F36" i="2" s="1"/>
  <c r="G36" i="2" s="1"/>
  <c r="H36" i="2" s="1"/>
  <c r="I36" i="2" s="1"/>
  <c r="J36" i="2" s="1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D7" i="2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C7" i="2"/>
</calcChain>
</file>

<file path=xl/sharedStrings.xml><?xml version="1.0" encoding="utf-8"?>
<sst xmlns="http://schemas.openxmlformats.org/spreadsheetml/2006/main" count="258" uniqueCount="50">
  <si>
    <t>TABEL 1. PDRB ATAS DASAR HARGA BERLAKU</t>
  </si>
  <si>
    <t>Wilayah :</t>
  </si>
  <si>
    <t>Kategori</t>
  </si>
  <si>
    <t>Uraian</t>
  </si>
  <si>
    <t>2020</t>
  </si>
  <si>
    <t>2021</t>
  </si>
  <si>
    <t>2022</t>
  </si>
  <si>
    <t>2023</t>
  </si>
  <si>
    <t>I</t>
  </si>
  <si>
    <t>II</t>
  </si>
  <si>
    <t>III</t>
  </si>
  <si>
    <t>IV</t>
  </si>
  <si>
    <t>Tahun</t>
  </si>
  <si>
    <t>A</t>
  </si>
  <si>
    <t>Pertanian, Kehutanan, dan Perikanan</t>
  </si>
  <si>
    <t>B</t>
  </si>
  <si>
    <t>Pertambangan dan Penggalian</t>
  </si>
  <si>
    <t>C</t>
  </si>
  <si>
    <t>Industri Pengolahan</t>
  </si>
  <si>
    <t>D</t>
  </si>
  <si>
    <t>Pengadaan Listrik dan Gas</t>
  </si>
  <si>
    <t>E</t>
  </si>
  <si>
    <t>Pengadaan Air, Pengelolaan Sampah, Limbah dan Daur Ulang</t>
  </si>
  <si>
    <t>F</t>
  </si>
  <si>
    <t>Konstruksi</t>
  </si>
  <si>
    <t>G</t>
  </si>
  <si>
    <t>Perdagangan Besar dan Eceran; Reparasi Mobil dan Sepeda Motor</t>
  </si>
  <si>
    <t>H</t>
  </si>
  <si>
    <t>Transportasi dan Pergudangan</t>
  </si>
  <si>
    <t>Penyediaan Akomodasi dan Makan Minum</t>
  </si>
  <si>
    <t>J</t>
  </si>
  <si>
    <t>Informasi dan Komunikasi</t>
  </si>
  <si>
    <t>K</t>
  </si>
  <si>
    <t>Jasa Keuangan dan Asuransi</t>
  </si>
  <si>
    <t>L</t>
  </si>
  <si>
    <t>Real Estate</t>
  </si>
  <si>
    <t>M,N</t>
  </si>
  <si>
    <t>Jasa Perusahaan</t>
  </si>
  <si>
    <t>O</t>
  </si>
  <si>
    <t>Administrasi Pemerintahan, Pertahanan dan Jaminan Sosial Wajib</t>
  </si>
  <si>
    <t>P</t>
  </si>
  <si>
    <t>Jasa Pendidikan</t>
  </si>
  <si>
    <t>Q</t>
  </si>
  <si>
    <t>Jasa Kesehatan dan Kegiatan Sosial</t>
  </si>
  <si>
    <t>R,S,T,U</t>
  </si>
  <si>
    <t>Jasa lainnya</t>
  </si>
  <si>
    <t>PRODUK DOMESTIK REGIONAL BRUTO</t>
  </si>
  <si>
    <t>PRODUK DOMESTIK REGIONAL BRUTO TANPA MIGAS</t>
  </si>
  <si>
    <t>TABEL 2. PDRB ATAS DASAR HARGA KONSTAN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</si>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</sst>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name val="Carlito"/>
    </font>
    <font>
      <b/>
      <sz val="11"/>
      <color rgb="FF17324D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i/>
      <sz val="11"/>
      <color rgb="FF68737D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EF4F8"/>
      </patternFill>
    </fill>
    <fill>
      <patternFill patternType="solid">
        <fgColor rgb="FF2C5F8A"/>
      </patternFill>
    </fill>
    <fill>
      <patternFill patternType="solid">
        <fgColor rgb="FFE3E8E5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4" tint="0.79992065187536243"/>
        <bgColor indexed="65"/>
      </patternFill>
    </fill>
    <fill>
      <patternFill patternType="solid">
        <fgColor rgb="FF2C5F8A"/>
      </patternFill>
    </fill>
    <fill>
      <patternFill patternType="solid">
        <fgColor theme="9" tint="0.79989013336588644"/>
        <bgColor indexed="65"/>
      </patternFill>
    </fill>
    <fill>
      <patternFill patternType="solid">
        <fgColor theme="4" tint="0.79989013336588644"/>
        <bgColor indexed="6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0" fontId="0" fillId="7" borderId="0" xfId="0" applyFill="1" applyAlignment="1">
      <alignment wrapText="1"/>
    </xf>
    <xf numFmtId="0" fontId="4" fillId="7" borderId="0" xfId="0" applyFont="1" applyFill="1" applyAlignment="1">
      <alignment horizontal="center" wrapText="1"/>
    </xf>
    <xf numFmtId="0" fontId="0" fillId="6" borderId="2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7" borderId="1" xfId="0" applyFill="1" applyBorder="1" applyAlignment="1">
      <alignment wrapText="1"/>
    </xf>
    <xf numFmtId="0" fontId="4" fillId="5" borderId="0" xfId="0" applyFont="1" applyFill="1" applyAlignment="1">
      <alignment wrapText="1"/>
    </xf>
    <xf numFmtId="4" fontId="0" fillId="9" borderId="2" xfId="0" applyNumberFormat="1" applyFill="1" applyBorder="1" applyAlignment="1">
      <alignment wrapText="1"/>
    </xf>
    <xf numFmtId="4" fontId="0" fillId="10" borderId="2" xfId="0" applyNumberFormat="1" applyFill="1" applyBorder="1" applyAlignment="1">
      <alignment wrapText="1"/>
    </xf>
    <xf numFmtId="4" fontId="0" fillId="10" borderId="4" xfId="0" applyNumberFormat="1" applyFill="1" applyBorder="1" applyAlignment="1">
      <alignment wrapText="1"/>
    </xf>
    <xf numFmtId="4" fontId="0" fillId="9" borderId="3" xfId="0" applyNumberFormat="1" applyFill="1" applyBorder="1" applyAlignment="1">
      <alignment wrapText="1"/>
    </xf>
    <xf numFmtId="4" fontId="0" fillId="4" borderId="2" xfId="0" applyNumberFormat="1" applyFill="1" applyBorder="1" applyAlignment="1">
      <alignment wrapText="1"/>
    </xf>
    <xf numFmtId="0" fontId="0" fillId="0" borderId="0" xfId="0" applyAlignment="1">
      <alignment wrapText="1"/>
    </xf>
    <xf numFmtId="0" fontId="0" fillId="8" borderId="2" xfId="0" applyFill="1" applyBorder="1" applyAlignment="1">
      <alignment horizontal="center" wrapText="1"/>
    </xf>
    <xf numFmtId="0" fontId="0" fillId="6" borderId="2" xfId="0" applyFill="1" applyBorder="1" applyAlignment="1">
      <alignment horizontal="left" wrapText="1"/>
    </xf>
    <xf numFmtId="0" fontId="0" fillId="6" borderId="5" xfId="0" applyFill="1" applyBorder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6"/>
  <sheetViews>
    <sheetView workbookViewId="0">
      <selection activeCell="W56" sqref="D55:W56"/>
    </sheetView>
  </sheetViews>
  <sheetFormatPr defaultRowHeight="14.25"/>
  <cols>
    <col min="1" max="1" width="10.75" customWidth="1"/>
    <col min="2" max="2" width="3.25" customWidth="1"/>
    <col min="3" max="3" width="84.75" customWidth="1"/>
    <col min="4" max="7" width="9.875" customWidth="1"/>
    <col min="8" max="8" width="10.25" customWidth="1"/>
    <col min="9" max="12" width="9.875" customWidth="1"/>
    <col min="13" max="13" width="10.25" customWidth="1"/>
    <col min="14" max="17" width="9.875" customWidth="1"/>
    <col min="18" max="18" width="10.25" customWidth="1"/>
    <col min="19" max="22" width="9.875" customWidth="1"/>
    <col min="23" max="23" width="10.25" customWidth="1"/>
  </cols>
  <sheetData>
    <row r="1" spans="1:23" ht="15">
      <c r="A1" s="21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5">
      <c r="A2" s="22" t="s">
        <v>1</v>
      </c>
      <c r="B2" s="2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>
      <c r="A4" s="23" t="s">
        <v>2</v>
      </c>
      <c r="B4" s="24" t="s">
        <v>3</v>
      </c>
      <c r="C4" s="24"/>
      <c r="D4" s="25" t="s">
        <v>4</v>
      </c>
      <c r="E4" s="25"/>
      <c r="F4" s="25"/>
      <c r="G4" s="25"/>
      <c r="H4" s="25"/>
      <c r="I4" s="25" t="s">
        <v>5</v>
      </c>
      <c r="J4" s="25"/>
      <c r="K4" s="25"/>
      <c r="L4" s="25"/>
      <c r="M4" s="25"/>
      <c r="N4" s="25" t="s">
        <v>6</v>
      </c>
      <c r="O4" s="25"/>
      <c r="P4" s="25"/>
      <c r="Q4" s="25"/>
      <c r="R4" s="25"/>
      <c r="S4" s="25" t="s">
        <v>7</v>
      </c>
      <c r="T4" s="25"/>
      <c r="U4" s="25"/>
      <c r="V4" s="25"/>
      <c r="W4" s="25"/>
    </row>
    <row r="5" spans="1:23" ht="15">
      <c r="A5" s="23"/>
      <c r="B5" s="24"/>
      <c r="C5" s="24"/>
      <c r="D5" s="3" t="s">
        <v>8</v>
      </c>
      <c r="E5" s="3" t="s">
        <v>9</v>
      </c>
      <c r="F5" s="3" t="s">
        <v>10</v>
      </c>
      <c r="G5" s="3" t="s">
        <v>11</v>
      </c>
      <c r="H5" s="3" t="s">
        <v>4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12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</row>
    <row r="6" spans="1:23">
      <c r="A6" s="1"/>
      <c r="B6" s="1"/>
      <c r="C6" s="1"/>
      <c r="D6" s="1"/>
      <c r="E6" s="1"/>
      <c r="F6" s="1"/>
      <c r="G6" s="1"/>
      <c r="H6" s="6"/>
      <c r="I6" s="1"/>
      <c r="J6" s="1"/>
      <c r="K6" s="1"/>
      <c r="L6" s="1"/>
      <c r="M6" s="6"/>
      <c r="N6" s="1"/>
      <c r="O6" s="1"/>
      <c r="P6" s="1"/>
      <c r="Q6" s="1"/>
      <c r="R6" s="6"/>
      <c r="S6" s="1"/>
      <c r="T6" s="1"/>
      <c r="U6" s="1"/>
      <c r="V6" s="1"/>
      <c r="W6" s="6"/>
    </row>
    <row r="7" spans="1:23">
      <c r="A7" s="4">
        <v>1</v>
      </c>
      <c r="B7" s="11"/>
      <c r="C7" s="4">
        <f>A7+1</f>
        <v>2</v>
      </c>
      <c r="D7" s="4">
        <f>C7+1</f>
        <v>3</v>
      </c>
      <c r="E7" s="4">
        <f t="shared" ref="E7:W7" si="0">D7+1</f>
        <v>4</v>
      </c>
      <c r="F7" s="4">
        <f t="shared" si="0"/>
        <v>5</v>
      </c>
      <c r="G7" s="4">
        <f t="shared" si="0"/>
        <v>6</v>
      </c>
      <c r="H7" s="7">
        <f t="shared" si="0"/>
        <v>7</v>
      </c>
      <c r="I7" s="4">
        <f t="shared" si="0"/>
        <v>8</v>
      </c>
      <c r="J7" s="4">
        <f t="shared" si="0"/>
        <v>9</v>
      </c>
      <c r="K7" s="4">
        <f t="shared" si="0"/>
        <v>10</v>
      </c>
      <c r="L7" s="4">
        <f t="shared" si="0"/>
        <v>11</v>
      </c>
      <c r="M7" s="7">
        <f t="shared" si="0"/>
        <v>12</v>
      </c>
      <c r="N7" s="4">
        <f t="shared" si="0"/>
        <v>13</v>
      </c>
      <c r="O7" s="4">
        <f t="shared" si="0"/>
        <v>14</v>
      </c>
      <c r="P7" s="4">
        <f t="shared" si="0"/>
        <v>15</v>
      </c>
      <c r="Q7" s="4">
        <f t="shared" si="0"/>
        <v>16</v>
      </c>
      <c r="R7" s="7">
        <f t="shared" si="0"/>
        <v>17</v>
      </c>
      <c r="S7" s="4">
        <f t="shared" si="0"/>
        <v>18</v>
      </c>
      <c r="T7" s="4">
        <f t="shared" si="0"/>
        <v>19</v>
      </c>
      <c r="U7" s="4">
        <f t="shared" si="0"/>
        <v>20</v>
      </c>
      <c r="V7" s="4">
        <f t="shared" si="0"/>
        <v>21</v>
      </c>
      <c r="W7" s="7">
        <f t="shared" si="0"/>
        <v>22</v>
      </c>
    </row>
    <row r="8" spans="1:23">
      <c r="A8" s="9"/>
      <c r="B8" s="9"/>
      <c r="C8" s="9"/>
      <c r="D8" s="9"/>
      <c r="E8" s="9"/>
      <c r="F8" s="9"/>
      <c r="G8" s="9"/>
      <c r="H8" s="10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9"/>
      <c r="U8" s="9"/>
      <c r="V8" s="9"/>
      <c r="W8" s="10"/>
    </row>
    <row r="9" spans="1:23">
      <c r="A9" s="8" t="s">
        <v>13</v>
      </c>
      <c r="B9" s="19" t="s">
        <v>14</v>
      </c>
      <c r="C9" s="20"/>
      <c r="D9" s="12"/>
      <c r="E9" s="12"/>
      <c r="F9" s="12"/>
      <c r="G9" s="12"/>
      <c r="H9" s="13"/>
      <c r="I9" s="12"/>
      <c r="J9" s="12"/>
      <c r="K9" s="12"/>
      <c r="L9" s="12"/>
      <c r="M9" s="13"/>
      <c r="N9" s="12"/>
      <c r="O9" s="12"/>
      <c r="P9" s="12"/>
      <c r="Q9" s="12"/>
      <c r="R9" s="13"/>
      <c r="S9" s="12"/>
      <c r="T9" s="12"/>
      <c r="U9" s="12"/>
      <c r="V9" s="12"/>
      <c r="W9" s="13"/>
    </row>
    <row r="10" spans="1:23">
      <c r="A10" s="8" t="s">
        <v>15</v>
      </c>
      <c r="B10" s="19" t="s">
        <v>16</v>
      </c>
      <c r="C10" s="20"/>
      <c r="D10" s="12"/>
      <c r="E10" s="12"/>
      <c r="F10" s="12"/>
      <c r="G10" s="12"/>
      <c r="H10" s="13"/>
      <c r="I10" s="12"/>
      <c r="J10" s="12"/>
      <c r="K10" s="12"/>
      <c r="L10" s="12"/>
      <c r="M10" s="13"/>
      <c r="N10" s="12"/>
      <c r="O10" s="12"/>
      <c r="P10" s="12"/>
      <c r="Q10" s="12"/>
      <c r="R10" s="13"/>
      <c r="S10" s="12"/>
      <c r="T10" s="12"/>
      <c r="U10" s="12"/>
      <c r="V10" s="12"/>
      <c r="W10" s="13"/>
    </row>
    <row r="11" spans="1:23">
      <c r="A11" s="8" t="s">
        <v>17</v>
      </c>
      <c r="B11" s="19" t="s">
        <v>18</v>
      </c>
      <c r="C11" s="20"/>
      <c r="D11" s="12"/>
      <c r="E11" s="12"/>
      <c r="F11" s="12"/>
      <c r="G11" s="12"/>
      <c r="H11" s="13"/>
      <c r="I11" s="12"/>
      <c r="J11" s="12"/>
      <c r="K11" s="12"/>
      <c r="L11" s="12"/>
      <c r="M11" s="13"/>
      <c r="N11" s="12"/>
      <c r="O11" s="12"/>
      <c r="P11" s="12"/>
      <c r="Q11" s="12"/>
      <c r="R11" s="13"/>
      <c r="S11" s="12"/>
      <c r="T11" s="12"/>
      <c r="U11" s="12"/>
      <c r="V11" s="12"/>
      <c r="W11" s="13"/>
    </row>
    <row r="12" spans="1:23">
      <c r="A12" s="8" t="s">
        <v>19</v>
      </c>
      <c r="B12" s="19" t="s">
        <v>20</v>
      </c>
      <c r="C12" s="20"/>
      <c r="D12" s="12"/>
      <c r="E12" s="12"/>
      <c r="F12" s="12"/>
      <c r="G12" s="12"/>
      <c r="H12" s="13"/>
      <c r="I12" s="12"/>
      <c r="J12" s="12"/>
      <c r="K12" s="12"/>
      <c r="L12" s="12"/>
      <c r="M12" s="13"/>
      <c r="N12" s="12"/>
      <c r="O12" s="12"/>
      <c r="P12" s="12"/>
      <c r="Q12" s="12"/>
      <c r="R12" s="13"/>
      <c r="S12" s="12"/>
      <c r="T12" s="12"/>
      <c r="U12" s="12"/>
      <c r="V12" s="12"/>
      <c r="W12" s="13"/>
    </row>
    <row r="13" spans="1:23">
      <c r="A13" s="8" t="s">
        <v>21</v>
      </c>
      <c r="B13" s="19" t="s">
        <v>22</v>
      </c>
      <c r="C13" s="20"/>
      <c r="D13" s="12"/>
      <c r="E13" s="12"/>
      <c r="F13" s="12"/>
      <c r="G13" s="12"/>
      <c r="H13" s="13"/>
      <c r="I13" s="12"/>
      <c r="J13" s="12"/>
      <c r="K13" s="12"/>
      <c r="L13" s="12"/>
      <c r="M13" s="13"/>
      <c r="N13" s="12"/>
      <c r="O13" s="12"/>
      <c r="P13" s="12"/>
      <c r="Q13" s="12"/>
      <c r="R13" s="13"/>
      <c r="S13" s="12"/>
      <c r="T13" s="12"/>
      <c r="U13" s="12"/>
      <c r="V13" s="12"/>
      <c r="W13" s="13"/>
    </row>
    <row r="14" spans="1:23">
      <c r="A14" s="8" t="s">
        <v>23</v>
      </c>
      <c r="B14" s="19" t="s">
        <v>24</v>
      </c>
      <c r="C14" s="20"/>
      <c r="D14" s="12"/>
      <c r="E14" s="12"/>
      <c r="F14" s="12"/>
      <c r="G14" s="12"/>
      <c r="H14" s="13"/>
      <c r="I14" s="12"/>
      <c r="J14" s="12"/>
      <c r="K14" s="12"/>
      <c r="L14" s="12"/>
      <c r="M14" s="13"/>
      <c r="N14" s="12"/>
      <c r="O14" s="12"/>
      <c r="P14" s="12"/>
      <c r="Q14" s="12"/>
      <c r="R14" s="13"/>
      <c r="S14" s="12"/>
      <c r="T14" s="12"/>
      <c r="U14" s="12"/>
      <c r="V14" s="12"/>
      <c r="W14" s="13"/>
    </row>
    <row r="15" spans="1:23">
      <c r="A15" s="8" t="s">
        <v>25</v>
      </c>
      <c r="B15" s="19" t="s">
        <v>26</v>
      </c>
      <c r="C15" s="20"/>
      <c r="D15" s="12"/>
      <c r="E15" s="12"/>
      <c r="F15" s="12"/>
      <c r="G15" s="12"/>
      <c r="H15" s="13"/>
      <c r="I15" s="12"/>
      <c r="J15" s="12"/>
      <c r="K15" s="12"/>
      <c r="L15" s="12"/>
      <c r="M15" s="13"/>
      <c r="N15" s="12"/>
      <c r="O15" s="12"/>
      <c r="P15" s="12"/>
      <c r="Q15" s="12"/>
      <c r="R15" s="13"/>
      <c r="S15" s="12"/>
      <c r="T15" s="12"/>
      <c r="U15" s="12"/>
      <c r="V15" s="12"/>
      <c r="W15" s="13"/>
    </row>
    <row r="16" spans="1:23">
      <c r="A16" s="8" t="s">
        <v>27</v>
      </c>
      <c r="B16" s="19" t="s">
        <v>28</v>
      </c>
      <c r="C16" s="20"/>
      <c r="D16" s="12"/>
      <c r="E16" s="12"/>
      <c r="F16" s="12"/>
      <c r="G16" s="12"/>
      <c r="H16" s="13"/>
      <c r="I16" s="12"/>
      <c r="J16" s="12"/>
      <c r="K16" s="12"/>
      <c r="L16" s="12"/>
      <c r="M16" s="13"/>
      <c r="N16" s="12"/>
      <c r="O16" s="12"/>
      <c r="P16" s="12"/>
      <c r="Q16" s="12"/>
      <c r="R16" s="13"/>
      <c r="S16" s="12"/>
      <c r="T16" s="12"/>
      <c r="U16" s="12"/>
      <c r="V16" s="12"/>
      <c r="W16" s="13"/>
    </row>
    <row r="17" spans="1:23">
      <c r="A17" s="8" t="s">
        <v>8</v>
      </c>
      <c r="B17" s="19" t="s">
        <v>29</v>
      </c>
      <c r="C17" s="20"/>
      <c r="D17" s="12"/>
      <c r="E17" s="12"/>
      <c r="F17" s="12"/>
      <c r="G17" s="12"/>
      <c r="H17" s="13"/>
      <c r="I17" s="12"/>
      <c r="J17" s="12"/>
      <c r="K17" s="12"/>
      <c r="L17" s="12"/>
      <c r="M17" s="14"/>
      <c r="N17" s="12"/>
      <c r="O17" s="12"/>
      <c r="P17" s="12"/>
      <c r="Q17" s="12"/>
      <c r="R17" s="13"/>
      <c r="S17" s="12"/>
      <c r="T17" s="12"/>
      <c r="U17" s="12"/>
      <c r="V17" s="12"/>
      <c r="W17" s="13"/>
    </row>
    <row r="18" spans="1:23">
      <c r="A18" s="8" t="s">
        <v>30</v>
      </c>
      <c r="B18" s="19" t="s">
        <v>31</v>
      </c>
      <c r="C18" s="20"/>
      <c r="D18" s="12"/>
      <c r="E18" s="12"/>
      <c r="F18" s="12"/>
      <c r="G18" s="12"/>
      <c r="H18" s="13"/>
      <c r="I18" s="12"/>
      <c r="J18" s="12"/>
      <c r="K18" s="12"/>
      <c r="L18" s="12"/>
      <c r="M18" s="13"/>
      <c r="N18" s="12"/>
      <c r="O18" s="12"/>
      <c r="P18" s="12"/>
      <c r="Q18" s="12"/>
      <c r="R18" s="13"/>
      <c r="S18" s="12"/>
      <c r="T18" s="12"/>
      <c r="U18" s="12"/>
      <c r="V18" s="12"/>
      <c r="W18" s="13"/>
    </row>
    <row r="19" spans="1:23">
      <c r="A19" s="8" t="s">
        <v>32</v>
      </c>
      <c r="B19" s="19" t="s">
        <v>33</v>
      </c>
      <c r="C19" s="20"/>
      <c r="D19" s="12"/>
      <c r="E19" s="12"/>
      <c r="F19" s="12"/>
      <c r="G19" s="12"/>
      <c r="H19" s="13"/>
      <c r="I19" s="12"/>
      <c r="J19" s="12"/>
      <c r="K19" s="12"/>
      <c r="L19" s="12"/>
      <c r="M19" s="13"/>
      <c r="N19" s="12"/>
      <c r="O19" s="12"/>
      <c r="P19" s="12"/>
      <c r="Q19" s="12"/>
      <c r="R19" s="13"/>
      <c r="S19" s="12"/>
      <c r="T19" s="12"/>
      <c r="U19" s="12"/>
      <c r="V19" s="12"/>
      <c r="W19" s="13"/>
    </row>
    <row r="20" spans="1:23">
      <c r="A20" s="8" t="s">
        <v>34</v>
      </c>
      <c r="B20" s="19" t="s">
        <v>35</v>
      </c>
      <c r="C20" s="20"/>
      <c r="D20" s="12"/>
      <c r="E20" s="12"/>
      <c r="F20" s="12"/>
      <c r="G20" s="12"/>
      <c r="H20" s="13"/>
      <c r="I20" s="12"/>
      <c r="J20" s="12"/>
      <c r="K20" s="12"/>
      <c r="L20" s="12"/>
      <c r="M20" s="13"/>
      <c r="N20" s="12"/>
      <c r="O20" s="12"/>
      <c r="P20" s="12"/>
      <c r="Q20" s="12"/>
      <c r="R20" s="13"/>
      <c r="S20" s="12"/>
      <c r="T20" s="12"/>
      <c r="U20" s="12"/>
      <c r="V20" s="12"/>
      <c r="W20" s="13"/>
    </row>
    <row r="21" spans="1:23">
      <c r="A21" s="8" t="s">
        <v>36</v>
      </c>
      <c r="B21" s="19" t="s">
        <v>37</v>
      </c>
      <c r="C21" s="20"/>
      <c r="D21" s="12"/>
      <c r="E21" s="12"/>
      <c r="F21" s="12"/>
      <c r="G21" s="12"/>
      <c r="H21" s="13"/>
      <c r="I21" s="12"/>
      <c r="J21" s="12"/>
      <c r="K21" s="12"/>
      <c r="L21" s="12"/>
      <c r="M21" s="13"/>
      <c r="N21" s="12"/>
      <c r="O21" s="12"/>
      <c r="P21" s="12"/>
      <c r="Q21" s="12"/>
      <c r="R21" s="13"/>
      <c r="S21" s="12"/>
      <c r="T21" s="12"/>
      <c r="U21" s="12"/>
      <c r="V21" s="12"/>
      <c r="W21" s="13"/>
    </row>
    <row r="22" spans="1:23">
      <c r="A22" s="8" t="s">
        <v>38</v>
      </c>
      <c r="B22" s="19" t="s">
        <v>39</v>
      </c>
      <c r="C22" s="20"/>
      <c r="D22" s="12"/>
      <c r="E22" s="12"/>
      <c r="F22" s="12"/>
      <c r="G22" s="12"/>
      <c r="H22" s="13"/>
      <c r="I22" s="12"/>
      <c r="J22" s="12"/>
      <c r="K22" s="12"/>
      <c r="L22" s="12"/>
      <c r="M22" s="13"/>
      <c r="N22" s="12"/>
      <c r="O22" s="12"/>
      <c r="P22" s="12"/>
      <c r="Q22" s="12"/>
      <c r="R22" s="13"/>
      <c r="S22" s="12"/>
      <c r="T22" s="12"/>
      <c r="U22" s="12"/>
      <c r="V22" s="12"/>
      <c r="W22" s="13"/>
    </row>
    <row r="23" spans="1:23">
      <c r="A23" s="8" t="s">
        <v>40</v>
      </c>
      <c r="B23" s="19" t="s">
        <v>41</v>
      </c>
      <c r="C23" s="19"/>
      <c r="D23" s="15"/>
      <c r="E23" s="12"/>
      <c r="F23" s="12"/>
      <c r="G23" s="12"/>
      <c r="H23" s="13"/>
      <c r="I23" s="12"/>
      <c r="J23" s="12"/>
      <c r="K23" s="12"/>
      <c r="L23" s="12"/>
      <c r="M23" s="13"/>
      <c r="N23" s="12"/>
      <c r="O23" s="12"/>
      <c r="P23" s="12"/>
      <c r="Q23" s="12"/>
      <c r="R23" s="13"/>
      <c r="S23" s="12"/>
      <c r="T23" s="12"/>
      <c r="U23" s="12"/>
      <c r="V23" s="12"/>
      <c r="W23" s="13"/>
    </row>
    <row r="24" spans="1:23">
      <c r="A24" s="8" t="s">
        <v>42</v>
      </c>
      <c r="B24" s="19" t="s">
        <v>43</v>
      </c>
      <c r="C24" s="19"/>
      <c r="D24" s="15"/>
      <c r="E24" s="12"/>
      <c r="F24" s="12"/>
      <c r="G24" s="12"/>
      <c r="H24" s="13"/>
      <c r="I24" s="12"/>
      <c r="J24" s="12"/>
      <c r="K24" s="12"/>
      <c r="L24" s="12"/>
      <c r="M24" s="13"/>
      <c r="N24" s="12"/>
      <c r="O24" s="12"/>
      <c r="P24" s="12"/>
      <c r="Q24" s="12"/>
      <c r="R24" s="13"/>
      <c r="S24" s="12"/>
      <c r="T24" s="12"/>
      <c r="U24" s="12"/>
      <c r="V24" s="12"/>
      <c r="W24" s="13"/>
    </row>
    <row r="25" spans="1:23">
      <c r="A25" s="8" t="s">
        <v>44</v>
      </c>
      <c r="B25" s="19" t="s">
        <v>45</v>
      </c>
      <c r="C25" s="19"/>
      <c r="D25" s="15"/>
      <c r="E25" s="12"/>
      <c r="F25" s="12"/>
      <c r="G25" s="12"/>
      <c r="H25" s="13"/>
      <c r="I25" s="12"/>
      <c r="J25" s="12"/>
      <c r="K25" s="12"/>
      <c r="L25" s="12"/>
      <c r="M25" s="13"/>
      <c r="N25" s="12"/>
      <c r="O25" s="12"/>
      <c r="P25" s="12"/>
      <c r="Q25" s="12"/>
      <c r="R25" s="13"/>
      <c r="S25" s="12"/>
      <c r="T25" s="12"/>
      <c r="U25" s="12"/>
      <c r="V25" s="12"/>
      <c r="W25" s="13"/>
    </row>
    <row r="26" spans="1:23">
      <c r="A26" s="18" t="s">
        <v>46</v>
      </c>
      <c r="B26" s="18"/>
      <c r="C26" s="18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>
      <c r="A27" s="18" t="s">
        <v>47</v>
      </c>
      <c r="B27" s="18"/>
      <c r="C27" s="18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>
      <c r="A28" s="1"/>
      <c r="B28" s="1"/>
      <c r="C28" s="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>
      <c r="A29" s="1"/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5">
      <c r="A30" s="21" t="s">
        <v>48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ht="15">
      <c r="A31" s="22" t="s">
        <v>1</v>
      </c>
      <c r="B31" s="2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>
      <c r="A33" s="23" t="s">
        <v>2</v>
      </c>
      <c r="B33" s="24" t="s">
        <v>3</v>
      </c>
      <c r="C33" s="24"/>
      <c r="D33" s="25" t="s">
        <v>4</v>
      </c>
      <c r="E33" s="25"/>
      <c r="F33" s="25"/>
      <c r="G33" s="25"/>
      <c r="H33" s="25"/>
      <c r="I33" s="25" t="s">
        <v>5</v>
      </c>
      <c r="J33" s="25"/>
      <c r="K33" s="25"/>
      <c r="L33" s="25"/>
      <c r="M33" s="25"/>
      <c r="N33" s="25" t="s">
        <v>6</v>
      </c>
      <c r="O33" s="25"/>
      <c r="P33" s="25"/>
      <c r="Q33" s="25"/>
      <c r="R33" s="25"/>
      <c r="S33" s="25" t="s">
        <v>7</v>
      </c>
      <c r="T33" s="25"/>
      <c r="U33" s="25"/>
      <c r="V33" s="25"/>
      <c r="W33" s="25"/>
    </row>
    <row r="34" spans="1:23" ht="15">
      <c r="A34" s="23"/>
      <c r="B34" s="24"/>
      <c r="C34" s="24"/>
      <c r="D34" s="3" t="s">
        <v>8</v>
      </c>
      <c r="E34" s="3" t="s">
        <v>9</v>
      </c>
      <c r="F34" s="3" t="s">
        <v>10</v>
      </c>
      <c r="G34" s="3" t="s">
        <v>11</v>
      </c>
      <c r="H34" s="3" t="s">
        <v>12</v>
      </c>
      <c r="I34" s="3" t="s">
        <v>8</v>
      </c>
      <c r="J34" s="3" t="s">
        <v>9</v>
      </c>
      <c r="K34" s="3" t="s">
        <v>10</v>
      </c>
      <c r="L34" s="3" t="s">
        <v>11</v>
      </c>
      <c r="M34" s="3" t="s">
        <v>12</v>
      </c>
      <c r="N34" s="3" t="s">
        <v>8</v>
      </c>
      <c r="O34" s="3" t="s">
        <v>9</v>
      </c>
      <c r="P34" s="3" t="s">
        <v>10</v>
      </c>
      <c r="Q34" s="3" t="s">
        <v>11</v>
      </c>
      <c r="R34" s="3" t="s">
        <v>12</v>
      </c>
      <c r="S34" s="3" t="s">
        <v>8</v>
      </c>
      <c r="T34" s="3" t="s">
        <v>9</v>
      </c>
      <c r="U34" s="3" t="s">
        <v>10</v>
      </c>
      <c r="V34" s="3" t="s">
        <v>11</v>
      </c>
      <c r="W34" s="3" t="s">
        <v>12</v>
      </c>
    </row>
    <row r="35" spans="1:23">
      <c r="A35" s="1"/>
      <c r="B35" s="1"/>
      <c r="C35" s="1"/>
      <c r="D35" s="1"/>
      <c r="E35" s="1"/>
      <c r="F35" s="1"/>
      <c r="G35" s="1"/>
      <c r="H35" s="6"/>
      <c r="I35" s="1"/>
      <c r="J35" s="1"/>
      <c r="K35" s="1"/>
      <c r="L35" s="1"/>
      <c r="M35" s="6"/>
      <c r="N35" s="1"/>
      <c r="O35" s="1"/>
      <c r="P35" s="1"/>
      <c r="Q35" s="1"/>
      <c r="R35" s="6"/>
      <c r="S35" s="1"/>
      <c r="T35" s="1"/>
      <c r="U35" s="1"/>
      <c r="V35" s="1"/>
      <c r="W35" s="6"/>
    </row>
    <row r="36" spans="1:23">
      <c r="A36" s="4" t="s">
        <v>49</v>
      </c>
      <c r="B36" s="11"/>
      <c r="C36" s="4">
        <f>A36+1</f>
        <v>2</v>
      </c>
      <c r="D36" s="4">
        <f>C36+1</f>
        <v>3</v>
      </c>
      <c r="E36" s="4">
        <f t="shared" ref="E36:W36" si="1">D36+1</f>
        <v>4</v>
      </c>
      <c r="F36" s="4">
        <f t="shared" si="1"/>
        <v>5</v>
      </c>
      <c r="G36" s="4">
        <f t="shared" si="1"/>
        <v>6</v>
      </c>
      <c r="H36" s="7">
        <f t="shared" si="1"/>
        <v>7</v>
      </c>
      <c r="I36" s="4">
        <f t="shared" si="1"/>
        <v>8</v>
      </c>
      <c r="J36" s="4">
        <f t="shared" si="1"/>
        <v>9</v>
      </c>
      <c r="K36" s="4">
        <f t="shared" si="1"/>
        <v>10</v>
      </c>
      <c r="L36" s="4">
        <f t="shared" si="1"/>
        <v>11</v>
      </c>
      <c r="M36" s="7">
        <f t="shared" si="1"/>
        <v>12</v>
      </c>
      <c r="N36" s="4">
        <f t="shared" si="1"/>
        <v>13</v>
      </c>
      <c r="O36" s="4">
        <f t="shared" si="1"/>
        <v>14</v>
      </c>
      <c r="P36" s="4">
        <f t="shared" si="1"/>
        <v>15</v>
      </c>
      <c r="Q36" s="4">
        <f t="shared" si="1"/>
        <v>16</v>
      </c>
      <c r="R36" s="7">
        <f t="shared" si="1"/>
        <v>17</v>
      </c>
      <c r="S36" s="4">
        <f t="shared" si="1"/>
        <v>18</v>
      </c>
      <c r="T36" s="4">
        <f t="shared" si="1"/>
        <v>19</v>
      </c>
      <c r="U36" s="4">
        <f t="shared" si="1"/>
        <v>20</v>
      </c>
      <c r="V36" s="4">
        <f t="shared" si="1"/>
        <v>21</v>
      </c>
      <c r="W36" s="7">
        <f t="shared" si="1"/>
        <v>22</v>
      </c>
    </row>
    <row r="37" spans="1:23">
      <c r="A37" s="1"/>
      <c r="B37" s="1"/>
      <c r="C37" s="1"/>
      <c r="D37" s="1"/>
      <c r="E37" s="1"/>
      <c r="F37" s="1"/>
      <c r="G37" s="1"/>
      <c r="H37" s="6"/>
      <c r="I37" s="1"/>
      <c r="J37" s="1"/>
      <c r="K37" s="1"/>
      <c r="L37" s="1"/>
      <c r="M37" s="6"/>
      <c r="N37" s="1"/>
      <c r="O37" s="1"/>
      <c r="P37" s="1"/>
      <c r="Q37" s="1"/>
      <c r="R37" s="6"/>
      <c r="S37" s="1"/>
      <c r="T37" s="1"/>
      <c r="U37" s="1"/>
      <c r="V37" s="1"/>
      <c r="W37" s="6"/>
    </row>
    <row r="38" spans="1:23">
      <c r="A38" s="8" t="s">
        <v>13</v>
      </c>
      <c r="B38" s="19" t="s">
        <v>14</v>
      </c>
      <c r="C38" s="20"/>
      <c r="D38" s="12"/>
      <c r="E38" s="12"/>
      <c r="F38" s="12"/>
      <c r="G38" s="12"/>
      <c r="H38" s="13"/>
      <c r="I38" s="12"/>
      <c r="J38" s="12"/>
      <c r="K38" s="12"/>
      <c r="L38" s="12"/>
      <c r="M38" s="13"/>
      <c r="N38" s="12"/>
      <c r="O38" s="12"/>
      <c r="P38" s="12"/>
      <c r="Q38" s="12"/>
      <c r="R38" s="13"/>
      <c r="S38" s="12"/>
      <c r="T38" s="12"/>
      <c r="U38" s="12"/>
      <c r="V38" s="12"/>
      <c r="W38" s="13"/>
    </row>
    <row r="39" spans="1:23">
      <c r="A39" s="8" t="s">
        <v>15</v>
      </c>
      <c r="B39" s="19" t="s">
        <v>16</v>
      </c>
      <c r="C39" s="20"/>
      <c r="D39" s="12"/>
      <c r="E39" s="12"/>
      <c r="F39" s="12"/>
      <c r="G39" s="12"/>
      <c r="H39" s="13"/>
      <c r="I39" s="12"/>
      <c r="J39" s="12"/>
      <c r="K39" s="12"/>
      <c r="L39" s="12"/>
      <c r="M39" s="13"/>
      <c r="N39" s="12"/>
      <c r="O39" s="12"/>
      <c r="P39" s="12"/>
      <c r="Q39" s="12"/>
      <c r="R39" s="13"/>
      <c r="S39" s="12"/>
      <c r="T39" s="12"/>
      <c r="U39" s="12"/>
      <c r="V39" s="12"/>
      <c r="W39" s="13"/>
    </row>
    <row r="40" spans="1:23">
      <c r="A40" s="8" t="s">
        <v>17</v>
      </c>
      <c r="B40" s="19" t="s">
        <v>18</v>
      </c>
      <c r="C40" s="20"/>
      <c r="D40" s="12"/>
      <c r="E40" s="12"/>
      <c r="F40" s="12"/>
      <c r="G40" s="12"/>
      <c r="H40" s="13"/>
      <c r="I40" s="12"/>
      <c r="J40" s="12"/>
      <c r="K40" s="12"/>
      <c r="L40" s="12"/>
      <c r="M40" s="13"/>
      <c r="N40" s="12"/>
      <c r="O40" s="12"/>
      <c r="P40" s="12"/>
      <c r="Q40" s="12"/>
      <c r="R40" s="13"/>
      <c r="S40" s="12"/>
      <c r="T40" s="12"/>
      <c r="U40" s="12"/>
      <c r="V40" s="12"/>
      <c r="W40" s="13"/>
    </row>
    <row r="41" spans="1:23">
      <c r="A41" s="8" t="s">
        <v>19</v>
      </c>
      <c r="B41" s="19" t="s">
        <v>20</v>
      </c>
      <c r="C41" s="20"/>
      <c r="D41" s="12"/>
      <c r="E41" s="12"/>
      <c r="F41" s="12"/>
      <c r="G41" s="12"/>
      <c r="H41" s="13"/>
      <c r="I41" s="12"/>
      <c r="J41" s="12"/>
      <c r="K41" s="12"/>
      <c r="L41" s="12"/>
      <c r="M41" s="13"/>
      <c r="N41" s="12"/>
      <c r="O41" s="12"/>
      <c r="P41" s="12"/>
      <c r="Q41" s="12"/>
      <c r="R41" s="13"/>
      <c r="S41" s="12"/>
      <c r="T41" s="12"/>
      <c r="U41" s="12"/>
      <c r="V41" s="12"/>
      <c r="W41" s="13"/>
    </row>
    <row r="42" spans="1:23">
      <c r="A42" s="8" t="s">
        <v>21</v>
      </c>
      <c r="B42" s="19" t="s">
        <v>22</v>
      </c>
      <c r="C42" s="20"/>
      <c r="D42" s="12"/>
      <c r="E42" s="12"/>
      <c r="F42" s="12"/>
      <c r="G42" s="12"/>
      <c r="H42" s="13"/>
      <c r="I42" s="12"/>
      <c r="J42" s="12"/>
      <c r="K42" s="12"/>
      <c r="L42" s="12"/>
      <c r="M42" s="13"/>
      <c r="N42" s="12"/>
      <c r="O42" s="12"/>
      <c r="P42" s="12"/>
      <c r="Q42" s="12"/>
      <c r="R42" s="13"/>
      <c r="S42" s="12"/>
      <c r="T42" s="12"/>
      <c r="U42" s="12"/>
      <c r="V42" s="12"/>
      <c r="W42" s="13"/>
    </row>
    <row r="43" spans="1:23">
      <c r="A43" s="8" t="s">
        <v>23</v>
      </c>
      <c r="B43" s="19" t="s">
        <v>24</v>
      </c>
      <c r="C43" s="20"/>
      <c r="D43" s="12"/>
      <c r="E43" s="12"/>
      <c r="F43" s="12"/>
      <c r="G43" s="12"/>
      <c r="H43" s="13"/>
      <c r="I43" s="12"/>
      <c r="J43" s="12"/>
      <c r="K43" s="12"/>
      <c r="L43" s="12"/>
      <c r="M43" s="13"/>
      <c r="N43" s="12"/>
      <c r="O43" s="12"/>
      <c r="P43" s="12"/>
      <c r="Q43" s="12"/>
      <c r="R43" s="13"/>
      <c r="S43" s="12"/>
      <c r="T43" s="12"/>
      <c r="U43" s="12"/>
      <c r="V43" s="12"/>
      <c r="W43" s="13"/>
    </row>
    <row r="44" spans="1:23">
      <c r="A44" s="8" t="s">
        <v>25</v>
      </c>
      <c r="B44" s="19" t="s">
        <v>26</v>
      </c>
      <c r="C44" s="20"/>
      <c r="D44" s="12"/>
      <c r="E44" s="12"/>
      <c r="F44" s="12"/>
      <c r="G44" s="12"/>
      <c r="H44" s="13"/>
      <c r="I44" s="12"/>
      <c r="J44" s="12"/>
      <c r="K44" s="12"/>
      <c r="L44" s="12"/>
      <c r="M44" s="13"/>
      <c r="N44" s="12"/>
      <c r="O44" s="12"/>
      <c r="P44" s="12"/>
      <c r="Q44" s="12"/>
      <c r="R44" s="13"/>
      <c r="S44" s="12"/>
      <c r="T44" s="12"/>
      <c r="U44" s="12"/>
      <c r="V44" s="12"/>
      <c r="W44" s="13"/>
    </row>
    <row r="45" spans="1:23">
      <c r="A45" s="8" t="s">
        <v>27</v>
      </c>
      <c r="B45" s="19" t="s">
        <v>28</v>
      </c>
      <c r="C45" s="20"/>
      <c r="D45" s="12"/>
      <c r="E45" s="12"/>
      <c r="F45" s="12"/>
      <c r="G45" s="12"/>
      <c r="H45" s="13"/>
      <c r="I45" s="12"/>
      <c r="J45" s="12"/>
      <c r="K45" s="12"/>
      <c r="L45" s="12"/>
      <c r="M45" s="13"/>
      <c r="N45" s="12"/>
      <c r="O45" s="12"/>
      <c r="P45" s="12"/>
      <c r="Q45" s="12"/>
      <c r="R45" s="13"/>
      <c r="S45" s="12"/>
      <c r="T45" s="12"/>
      <c r="U45" s="12"/>
      <c r="V45" s="12"/>
      <c r="W45" s="13"/>
    </row>
    <row r="46" spans="1:23">
      <c r="A46" s="8" t="s">
        <v>8</v>
      </c>
      <c r="B46" s="19" t="s">
        <v>29</v>
      </c>
      <c r="C46" s="20"/>
      <c r="D46" s="12"/>
      <c r="E46" s="12"/>
      <c r="F46" s="12"/>
      <c r="G46" s="12"/>
      <c r="H46" s="13"/>
      <c r="I46" s="12"/>
      <c r="J46" s="12"/>
      <c r="K46" s="12"/>
      <c r="L46" s="12"/>
      <c r="M46" s="14"/>
      <c r="N46" s="12"/>
      <c r="O46" s="12"/>
      <c r="P46" s="12"/>
      <c r="Q46" s="12"/>
      <c r="R46" s="13"/>
      <c r="S46" s="12"/>
      <c r="T46" s="12"/>
      <c r="U46" s="12"/>
      <c r="V46" s="12"/>
      <c r="W46" s="13"/>
    </row>
    <row r="47" spans="1:23">
      <c r="A47" s="8" t="s">
        <v>30</v>
      </c>
      <c r="B47" s="19" t="s">
        <v>31</v>
      </c>
      <c r="C47" s="20"/>
      <c r="D47" s="12"/>
      <c r="E47" s="12"/>
      <c r="F47" s="12"/>
      <c r="G47" s="12"/>
      <c r="H47" s="13"/>
      <c r="I47" s="12"/>
      <c r="J47" s="12"/>
      <c r="K47" s="12"/>
      <c r="L47" s="12"/>
      <c r="M47" s="13"/>
      <c r="N47" s="12"/>
      <c r="O47" s="12"/>
      <c r="P47" s="12"/>
      <c r="Q47" s="12"/>
      <c r="R47" s="13"/>
      <c r="S47" s="12"/>
      <c r="T47" s="12"/>
      <c r="U47" s="12"/>
      <c r="V47" s="12"/>
      <c r="W47" s="13"/>
    </row>
    <row r="48" spans="1:23">
      <c r="A48" s="8" t="s">
        <v>32</v>
      </c>
      <c r="B48" s="19" t="s">
        <v>33</v>
      </c>
      <c r="C48" s="20"/>
      <c r="D48" s="12"/>
      <c r="E48" s="12"/>
      <c r="F48" s="12"/>
      <c r="G48" s="12"/>
      <c r="H48" s="13"/>
      <c r="I48" s="12"/>
      <c r="J48" s="12"/>
      <c r="K48" s="12"/>
      <c r="L48" s="12"/>
      <c r="M48" s="13"/>
      <c r="N48" s="12"/>
      <c r="O48" s="12"/>
      <c r="P48" s="12"/>
      <c r="Q48" s="12"/>
      <c r="R48" s="13"/>
      <c r="S48" s="12"/>
      <c r="T48" s="12"/>
      <c r="U48" s="12"/>
      <c r="V48" s="12"/>
      <c r="W48" s="13"/>
    </row>
    <row r="49" spans="1:23">
      <c r="A49" s="8" t="s">
        <v>34</v>
      </c>
      <c r="B49" s="19" t="s">
        <v>35</v>
      </c>
      <c r="C49" s="20"/>
      <c r="D49" s="12"/>
      <c r="E49" s="12"/>
      <c r="F49" s="12"/>
      <c r="G49" s="12"/>
      <c r="H49" s="13"/>
      <c r="I49" s="12"/>
      <c r="J49" s="12"/>
      <c r="K49" s="12"/>
      <c r="L49" s="12"/>
      <c r="M49" s="13"/>
      <c r="N49" s="12"/>
      <c r="O49" s="12"/>
      <c r="P49" s="12"/>
      <c r="Q49" s="12"/>
      <c r="R49" s="13"/>
      <c r="S49" s="12"/>
      <c r="T49" s="12"/>
      <c r="U49" s="12"/>
      <c r="V49" s="12"/>
      <c r="W49" s="13"/>
    </row>
    <row r="50" spans="1:23">
      <c r="A50" s="8" t="s">
        <v>36</v>
      </c>
      <c r="B50" s="19" t="s">
        <v>37</v>
      </c>
      <c r="C50" s="20"/>
      <c r="D50" s="12"/>
      <c r="E50" s="12"/>
      <c r="F50" s="12"/>
      <c r="G50" s="12"/>
      <c r="H50" s="13"/>
      <c r="I50" s="12"/>
      <c r="J50" s="12"/>
      <c r="K50" s="12"/>
      <c r="L50" s="12"/>
      <c r="M50" s="13"/>
      <c r="N50" s="12"/>
      <c r="O50" s="12"/>
      <c r="P50" s="12"/>
      <c r="Q50" s="12"/>
      <c r="R50" s="13"/>
      <c r="S50" s="12"/>
      <c r="T50" s="12"/>
      <c r="U50" s="12"/>
      <c r="V50" s="12"/>
      <c r="W50" s="13"/>
    </row>
    <row r="51" spans="1:23">
      <c r="A51" s="8" t="s">
        <v>38</v>
      </c>
      <c r="B51" s="19" t="s">
        <v>39</v>
      </c>
      <c r="C51" s="20"/>
      <c r="D51" s="12"/>
      <c r="E51" s="12"/>
      <c r="F51" s="12"/>
      <c r="G51" s="12"/>
      <c r="H51" s="13"/>
      <c r="I51" s="12"/>
      <c r="J51" s="12"/>
      <c r="K51" s="12"/>
      <c r="L51" s="12"/>
      <c r="M51" s="13"/>
      <c r="N51" s="12"/>
      <c r="O51" s="12"/>
      <c r="P51" s="12"/>
      <c r="Q51" s="12"/>
      <c r="R51" s="13"/>
      <c r="S51" s="12"/>
      <c r="T51" s="12"/>
      <c r="U51" s="12"/>
      <c r="V51" s="12"/>
      <c r="W51" s="13"/>
    </row>
    <row r="52" spans="1:23">
      <c r="A52" s="8" t="s">
        <v>40</v>
      </c>
      <c r="B52" s="19" t="s">
        <v>41</v>
      </c>
      <c r="C52" s="19"/>
      <c r="D52" s="15"/>
      <c r="E52" s="12"/>
      <c r="F52" s="12"/>
      <c r="G52" s="12"/>
      <c r="H52" s="13"/>
      <c r="I52" s="12"/>
      <c r="J52" s="12"/>
      <c r="K52" s="12"/>
      <c r="L52" s="12"/>
      <c r="M52" s="13"/>
      <c r="N52" s="12"/>
      <c r="O52" s="12"/>
      <c r="P52" s="12"/>
      <c r="Q52" s="12"/>
      <c r="R52" s="13"/>
      <c r="S52" s="12"/>
      <c r="T52" s="12"/>
      <c r="U52" s="12"/>
      <c r="V52" s="12"/>
      <c r="W52" s="13"/>
    </row>
    <row r="53" spans="1:23">
      <c r="A53" s="8" t="s">
        <v>42</v>
      </c>
      <c r="B53" s="19" t="s">
        <v>43</v>
      </c>
      <c r="C53" s="19"/>
      <c r="D53" s="15"/>
      <c r="E53" s="12"/>
      <c r="F53" s="12"/>
      <c r="G53" s="12"/>
      <c r="H53" s="13"/>
      <c r="I53" s="12"/>
      <c r="J53" s="12"/>
      <c r="K53" s="12"/>
      <c r="L53" s="12"/>
      <c r="M53" s="13"/>
      <c r="N53" s="12"/>
      <c r="O53" s="12"/>
      <c r="P53" s="12"/>
      <c r="Q53" s="12"/>
      <c r="R53" s="13"/>
      <c r="S53" s="12"/>
      <c r="T53" s="12"/>
      <c r="U53" s="12"/>
      <c r="V53" s="12"/>
      <c r="W53" s="13"/>
    </row>
    <row r="54" spans="1:23">
      <c r="A54" s="8" t="s">
        <v>44</v>
      </c>
      <c r="B54" s="19" t="s">
        <v>45</v>
      </c>
      <c r="C54" s="19"/>
      <c r="D54" s="15"/>
      <c r="E54" s="12"/>
      <c r="F54" s="12"/>
      <c r="G54" s="12"/>
      <c r="H54" s="13"/>
      <c r="I54" s="12"/>
      <c r="J54" s="12"/>
      <c r="K54" s="12"/>
      <c r="L54" s="12"/>
      <c r="M54" s="13"/>
      <c r="N54" s="12"/>
      <c r="O54" s="12"/>
      <c r="P54" s="12"/>
      <c r="Q54" s="12"/>
      <c r="R54" s="13"/>
      <c r="S54" s="12"/>
      <c r="T54" s="12"/>
      <c r="U54" s="12"/>
      <c r="V54" s="12"/>
      <c r="W54" s="13"/>
    </row>
    <row r="55" spans="1:23">
      <c r="A55" s="18" t="s">
        <v>46</v>
      </c>
      <c r="B55" s="18"/>
      <c r="C55" s="18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>
      <c r="A56" s="18" t="s">
        <v>47</v>
      </c>
      <c r="B56" s="18"/>
      <c r="C56" s="18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</sheetData>
  <mergeCells count="54">
    <mergeCell ref="B14:C14"/>
    <mergeCell ref="A1:W1"/>
    <mergeCell ref="A2:B2"/>
    <mergeCell ref="A4:A5"/>
    <mergeCell ref="B4:C5"/>
    <mergeCell ref="D4:H4"/>
    <mergeCell ref="I4:M4"/>
    <mergeCell ref="N4:R4"/>
    <mergeCell ref="S4:W4"/>
    <mergeCell ref="B9:C9"/>
    <mergeCell ref="B10:C10"/>
    <mergeCell ref="B11:C11"/>
    <mergeCell ref="B12:C12"/>
    <mergeCell ref="B13:C13"/>
    <mergeCell ref="A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7:C27"/>
    <mergeCell ref="A30:W30"/>
    <mergeCell ref="A31:B31"/>
    <mergeCell ref="A33:A34"/>
    <mergeCell ref="B33:C34"/>
    <mergeCell ref="D33:H33"/>
    <mergeCell ref="I33:M33"/>
    <mergeCell ref="N33:R33"/>
    <mergeCell ref="S33:W33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A56:C56"/>
    <mergeCell ref="B50:C50"/>
    <mergeCell ref="B51:C51"/>
    <mergeCell ref="B52:C52"/>
    <mergeCell ref="B53:C53"/>
    <mergeCell ref="B54:C54"/>
    <mergeCell ref="A55:C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6"/>
  <sheetViews>
    <sheetView tabSelected="1" workbookViewId="0">
      <selection activeCell="D26" sqref="D26"/>
    </sheetView>
  </sheetViews>
  <sheetFormatPr defaultRowHeight="14.25"/>
  <cols>
    <col min="1" max="1" width="10.75" customWidth="1"/>
    <col min="2" max="2" width="3.25" customWidth="1"/>
    <col min="3" max="3" width="84.75" customWidth="1"/>
    <col min="4" max="7" width="9.875" customWidth="1"/>
    <col min="8" max="8" width="10.25" customWidth="1"/>
    <col min="9" max="12" width="9.875" customWidth="1"/>
    <col min="13" max="13" width="10.25" customWidth="1"/>
    <col min="14" max="17" width="9.875" customWidth="1"/>
    <col min="18" max="18" width="10.25" customWidth="1"/>
    <col min="19" max="22" width="9.875" customWidth="1"/>
    <col min="23" max="23" width="10.25" customWidth="1"/>
  </cols>
  <sheetData>
    <row r="1" spans="1:23" ht="15">
      <c r="A1" s="21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5">
      <c r="A2" s="22" t="s">
        <v>1</v>
      </c>
      <c r="B2" s="2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>
      <c r="A4" s="23" t="s">
        <v>2</v>
      </c>
      <c r="B4" s="24" t="s">
        <v>3</v>
      </c>
      <c r="C4" s="24"/>
      <c r="D4" s="25" t="s">
        <v>4</v>
      </c>
      <c r="E4" s="25"/>
      <c r="F4" s="25"/>
      <c r="G4" s="25"/>
      <c r="H4" s="25"/>
      <c r="I4" s="25" t="s">
        <v>5</v>
      </c>
      <c r="J4" s="25"/>
      <c r="K4" s="25"/>
      <c r="L4" s="25"/>
      <c r="M4" s="25"/>
      <c r="N4" s="25" t="s">
        <v>6</v>
      </c>
      <c r="O4" s="25"/>
      <c r="P4" s="25"/>
      <c r="Q4" s="25"/>
      <c r="R4" s="25"/>
      <c r="S4" s="25" t="s">
        <v>7</v>
      </c>
      <c r="T4" s="25"/>
      <c r="U4" s="25"/>
      <c r="V4" s="25"/>
      <c r="W4" s="25"/>
    </row>
    <row r="5" spans="1:23" ht="15">
      <c r="A5" s="23"/>
      <c r="B5" s="24"/>
      <c r="C5" s="24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12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</row>
    <row r="6" spans="1:23">
      <c r="A6" s="1"/>
      <c r="B6" s="1"/>
      <c r="C6" s="1"/>
      <c r="D6" s="1"/>
      <c r="E6" s="1"/>
      <c r="F6" s="1"/>
      <c r="G6" s="1"/>
      <c r="H6" s="6"/>
      <c r="I6" s="1"/>
      <c r="J6" s="1"/>
      <c r="K6" s="1"/>
      <c r="L6" s="1"/>
      <c r="M6" s="6"/>
      <c r="N6" s="1"/>
      <c r="O6" s="1"/>
      <c r="P6" s="1"/>
      <c r="Q6" s="1"/>
      <c r="R6" s="6"/>
      <c r="S6" s="1"/>
      <c r="T6" s="1"/>
      <c r="U6" s="1"/>
      <c r="V6" s="1"/>
      <c r="W6" s="6"/>
    </row>
    <row r="7" spans="1:23">
      <c r="A7" s="4">
        <v>1</v>
      </c>
      <c r="B7" s="11"/>
      <c r="C7" s="4">
        <f>A7+1</f>
        <v>2</v>
      </c>
      <c r="D7" s="4">
        <f>C7+1</f>
        <v>3</v>
      </c>
      <c r="E7" s="4">
        <f t="shared" ref="E7:W7" si="0">D7+1</f>
        <v>4</v>
      </c>
      <c r="F7" s="4">
        <f t="shared" si="0"/>
        <v>5</v>
      </c>
      <c r="G7" s="4">
        <f t="shared" si="0"/>
        <v>6</v>
      </c>
      <c r="H7" s="7">
        <f t="shared" si="0"/>
        <v>7</v>
      </c>
      <c r="I7" s="4">
        <f t="shared" si="0"/>
        <v>8</v>
      </c>
      <c r="J7" s="4">
        <f t="shared" si="0"/>
        <v>9</v>
      </c>
      <c r="K7" s="4">
        <f t="shared" si="0"/>
        <v>10</v>
      </c>
      <c r="L7" s="4">
        <f t="shared" si="0"/>
        <v>11</v>
      </c>
      <c r="M7" s="7">
        <f t="shared" si="0"/>
        <v>12</v>
      </c>
      <c r="N7" s="4">
        <f t="shared" si="0"/>
        <v>13</v>
      </c>
      <c r="O7" s="4">
        <f t="shared" si="0"/>
        <v>14</v>
      </c>
      <c r="P7" s="4">
        <f t="shared" si="0"/>
        <v>15</v>
      </c>
      <c r="Q7" s="4">
        <f t="shared" si="0"/>
        <v>16</v>
      </c>
      <c r="R7" s="7">
        <f t="shared" si="0"/>
        <v>17</v>
      </c>
      <c r="S7" s="4">
        <f t="shared" si="0"/>
        <v>18</v>
      </c>
      <c r="T7" s="4">
        <f t="shared" si="0"/>
        <v>19</v>
      </c>
      <c r="U7" s="4">
        <f t="shared" si="0"/>
        <v>20</v>
      </c>
      <c r="V7" s="4">
        <f t="shared" si="0"/>
        <v>21</v>
      </c>
      <c r="W7" s="7">
        <f t="shared" si="0"/>
        <v>22</v>
      </c>
    </row>
    <row r="8" spans="1:23">
      <c r="A8" s="9"/>
      <c r="B8" s="9"/>
      <c r="C8" s="9"/>
      <c r="D8" s="9"/>
      <c r="E8" s="9"/>
      <c r="F8" s="9"/>
      <c r="G8" s="9"/>
      <c r="H8" s="10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9"/>
      <c r="U8" s="9"/>
      <c r="V8" s="9"/>
      <c r="W8" s="10"/>
    </row>
    <row r="9" spans="1:23">
      <c r="A9" s="8" t="s">
        <v>13</v>
      </c>
      <c r="B9" s="19" t="s">
        <v>14</v>
      </c>
      <c r="C9" s="20"/>
      <c r="D9" s="12">
        <v>1965.54</v>
      </c>
      <c r="E9" s="12">
        <v>2047.89</v>
      </c>
      <c r="F9" s="12">
        <v>2075.61</v>
      </c>
      <c r="G9" s="12">
        <v>2184.85</v>
      </c>
      <c r="H9" s="13">
        <v>8273.89</v>
      </c>
      <c r="I9" s="12">
        <v>2088.7600000000002</v>
      </c>
      <c r="J9" s="12">
        <v>2176.27</v>
      </c>
      <c r="K9" s="12">
        <v>2207.4899999999998</v>
      </c>
      <c r="L9" s="12">
        <v>2321.8200000000002</v>
      </c>
      <c r="M9" s="13">
        <v>8794.34</v>
      </c>
      <c r="N9" s="12">
        <v>2245.62</v>
      </c>
      <c r="O9" s="12">
        <v>2339.6999999999998</v>
      </c>
      <c r="P9" s="12">
        <v>2375.15</v>
      </c>
      <c r="Q9" s="12">
        <v>2496.1799999999998</v>
      </c>
      <c r="R9" s="13">
        <v>9456.65</v>
      </c>
      <c r="S9" s="12">
        <v>2423.31</v>
      </c>
      <c r="T9" s="12">
        <v>2524.83</v>
      </c>
      <c r="U9" s="12">
        <v>2559.0100000000002</v>
      </c>
      <c r="V9" s="12">
        <v>2693.7</v>
      </c>
      <c r="W9" s="13">
        <v>10200.85</v>
      </c>
    </row>
    <row r="10" spans="1:23">
      <c r="A10" s="8" t="s">
        <v>15</v>
      </c>
      <c r="B10" s="19" t="s">
        <v>16</v>
      </c>
      <c r="C10" s="20"/>
      <c r="D10" s="12">
        <v>224.06</v>
      </c>
      <c r="E10" s="12">
        <v>232.67</v>
      </c>
      <c r="F10" s="12">
        <v>236.11</v>
      </c>
      <c r="G10" s="12">
        <v>248.53</v>
      </c>
      <c r="H10" s="13">
        <v>941.37</v>
      </c>
      <c r="I10" s="12">
        <v>238.81</v>
      </c>
      <c r="J10" s="12">
        <v>247.99</v>
      </c>
      <c r="K10" s="12">
        <v>251.86</v>
      </c>
      <c r="L10" s="12">
        <v>264.89999999999998</v>
      </c>
      <c r="M10" s="13">
        <v>1003.56</v>
      </c>
      <c r="N10" s="12">
        <v>257.52</v>
      </c>
      <c r="O10" s="12">
        <v>267.42</v>
      </c>
      <c r="P10" s="12">
        <v>271.8</v>
      </c>
      <c r="Q10" s="12">
        <v>285.64999999999998</v>
      </c>
      <c r="R10" s="13">
        <v>1082.3900000000001</v>
      </c>
      <c r="S10" s="12">
        <v>278.74</v>
      </c>
      <c r="T10" s="12">
        <v>289.45</v>
      </c>
      <c r="U10" s="12">
        <v>293.73</v>
      </c>
      <c r="V10" s="12">
        <v>309.18</v>
      </c>
      <c r="W10" s="13">
        <v>1171.0999999999999</v>
      </c>
    </row>
    <row r="11" spans="1:23">
      <c r="A11" s="8" t="s">
        <v>17</v>
      </c>
      <c r="B11" s="19" t="s">
        <v>18</v>
      </c>
      <c r="C11" s="20"/>
      <c r="D11" s="12">
        <v>5866.28</v>
      </c>
      <c r="E11" s="12">
        <v>6071.66</v>
      </c>
      <c r="F11" s="12">
        <v>6168.82</v>
      </c>
      <c r="G11" s="12">
        <v>6493.5</v>
      </c>
      <c r="H11" s="13">
        <v>24600.26</v>
      </c>
      <c r="I11" s="12">
        <v>6271.34</v>
      </c>
      <c r="J11" s="12">
        <v>6490.9</v>
      </c>
      <c r="K11" s="12">
        <v>6600.02</v>
      </c>
      <c r="L11" s="12">
        <v>6941.86</v>
      </c>
      <c r="M11" s="13">
        <v>26304.12</v>
      </c>
      <c r="N11" s="12">
        <v>6782.86</v>
      </c>
      <c r="O11" s="12">
        <v>7020.33</v>
      </c>
      <c r="P11" s="12">
        <v>7144.05</v>
      </c>
      <c r="Q11" s="12">
        <v>7508.08</v>
      </c>
      <c r="R11" s="13">
        <v>28455.32</v>
      </c>
      <c r="S11" s="12">
        <v>7363.89</v>
      </c>
      <c r="T11" s="12">
        <v>7621.7</v>
      </c>
      <c r="U11" s="12">
        <v>7743.66</v>
      </c>
      <c r="V11" s="12">
        <v>8151.22</v>
      </c>
      <c r="W11" s="13">
        <v>30880.47</v>
      </c>
    </row>
    <row r="12" spans="1:23">
      <c r="A12" s="8" t="s">
        <v>19</v>
      </c>
      <c r="B12" s="19" t="s">
        <v>20</v>
      </c>
      <c r="C12" s="20"/>
      <c r="D12" s="12">
        <v>55.46</v>
      </c>
      <c r="E12" s="12">
        <v>57.57</v>
      </c>
      <c r="F12" s="12">
        <v>58.56</v>
      </c>
      <c r="G12" s="12">
        <v>61.64</v>
      </c>
      <c r="H12" s="13">
        <v>233.23</v>
      </c>
      <c r="I12" s="12">
        <v>59.46</v>
      </c>
      <c r="J12" s="12">
        <v>61.73</v>
      </c>
      <c r="K12" s="12">
        <v>62.84</v>
      </c>
      <c r="L12" s="12">
        <v>66.11</v>
      </c>
      <c r="M12" s="13">
        <v>250.14</v>
      </c>
      <c r="N12" s="12">
        <v>64.510000000000005</v>
      </c>
      <c r="O12" s="12">
        <v>66.97</v>
      </c>
      <c r="P12" s="12">
        <v>68.23</v>
      </c>
      <c r="Q12" s="12">
        <v>71.7</v>
      </c>
      <c r="R12" s="13">
        <v>271.41000000000003</v>
      </c>
      <c r="S12" s="12">
        <v>70.239999999999995</v>
      </c>
      <c r="T12" s="12">
        <v>72.92</v>
      </c>
      <c r="U12" s="12">
        <v>74.180000000000007</v>
      </c>
      <c r="V12" s="12">
        <v>78.08</v>
      </c>
      <c r="W12" s="13">
        <v>295.42</v>
      </c>
    </row>
    <row r="13" spans="1:23">
      <c r="A13" s="8" t="s">
        <v>21</v>
      </c>
      <c r="B13" s="19" t="s">
        <v>22</v>
      </c>
      <c r="C13" s="20"/>
      <c r="D13" s="12">
        <v>36.83</v>
      </c>
      <c r="E13" s="12">
        <v>38.29</v>
      </c>
      <c r="F13" s="12">
        <v>38.81</v>
      </c>
      <c r="G13" s="12">
        <v>40.86</v>
      </c>
      <c r="H13" s="13">
        <v>154.79</v>
      </c>
      <c r="I13" s="12">
        <v>39.61</v>
      </c>
      <c r="J13" s="12">
        <v>41.18</v>
      </c>
      <c r="K13" s="12">
        <v>41.78</v>
      </c>
      <c r="L13" s="12">
        <v>43.94</v>
      </c>
      <c r="M13" s="13">
        <v>166.51</v>
      </c>
      <c r="N13" s="12">
        <v>43.1</v>
      </c>
      <c r="O13" s="12">
        <v>44.81</v>
      </c>
      <c r="P13" s="12">
        <v>45.49</v>
      </c>
      <c r="Q13" s="12">
        <v>47.81</v>
      </c>
      <c r="R13" s="13">
        <v>181.21</v>
      </c>
      <c r="S13" s="12">
        <v>47.07</v>
      </c>
      <c r="T13" s="12">
        <v>48.94</v>
      </c>
      <c r="U13" s="12">
        <v>49.6</v>
      </c>
      <c r="V13" s="12">
        <v>52.22</v>
      </c>
      <c r="W13" s="13">
        <v>197.83</v>
      </c>
    </row>
    <row r="14" spans="1:23">
      <c r="A14" s="8" t="s">
        <v>23</v>
      </c>
      <c r="B14" s="19" t="s">
        <v>24</v>
      </c>
      <c r="C14" s="20"/>
      <c r="D14" s="12">
        <v>1972.44</v>
      </c>
      <c r="E14" s="12">
        <v>2043.97</v>
      </c>
      <c r="F14" s="12">
        <v>2074.16</v>
      </c>
      <c r="G14" s="12">
        <v>2183.3200000000002</v>
      </c>
      <c r="H14" s="13">
        <v>8273.89</v>
      </c>
      <c r="I14" s="12">
        <v>2096.09</v>
      </c>
      <c r="J14" s="12">
        <v>2172.11</v>
      </c>
      <c r="K14" s="12">
        <v>2205.9499999999998</v>
      </c>
      <c r="L14" s="12">
        <v>2320.19</v>
      </c>
      <c r="M14" s="13">
        <v>8794.34</v>
      </c>
      <c r="N14" s="12">
        <v>2253.5</v>
      </c>
      <c r="O14" s="12">
        <v>2335.23</v>
      </c>
      <c r="P14" s="12">
        <v>2373.4899999999998</v>
      </c>
      <c r="Q14" s="12">
        <v>2494.4299999999998</v>
      </c>
      <c r="R14" s="13">
        <v>9456.65</v>
      </c>
      <c r="S14" s="12">
        <v>2431.81</v>
      </c>
      <c r="T14" s="12">
        <v>2520.0100000000002</v>
      </c>
      <c r="U14" s="12">
        <v>2557.2199999999998</v>
      </c>
      <c r="V14" s="12">
        <v>2691.81</v>
      </c>
      <c r="W14" s="13">
        <v>10200.85</v>
      </c>
    </row>
    <row r="15" spans="1:23">
      <c r="A15" s="8" t="s">
        <v>25</v>
      </c>
      <c r="B15" s="19" t="s">
        <v>26</v>
      </c>
      <c r="C15" s="20"/>
      <c r="D15" s="12">
        <v>2386.83</v>
      </c>
      <c r="E15" s="12">
        <v>2480.8000000000002</v>
      </c>
      <c r="F15" s="12">
        <v>2520.5</v>
      </c>
      <c r="G15" s="12">
        <v>2653.15</v>
      </c>
      <c r="H15" s="13">
        <v>10041.280000000001</v>
      </c>
      <c r="I15" s="12">
        <v>2544.02</v>
      </c>
      <c r="J15" s="12">
        <v>2644.17</v>
      </c>
      <c r="K15" s="12">
        <v>2688.62</v>
      </c>
      <c r="L15" s="12">
        <v>2827.88</v>
      </c>
      <c r="M15" s="13">
        <v>10704.69</v>
      </c>
      <c r="N15" s="12">
        <v>2743.28</v>
      </c>
      <c r="O15" s="12">
        <v>2851.28</v>
      </c>
      <c r="P15" s="12">
        <v>2901.52</v>
      </c>
      <c r="Q15" s="12">
        <v>3049.37</v>
      </c>
      <c r="R15" s="13">
        <v>11545.45</v>
      </c>
      <c r="S15" s="12">
        <v>2969.32</v>
      </c>
      <c r="T15" s="12">
        <v>3086.22</v>
      </c>
      <c r="U15" s="12">
        <v>3135.61</v>
      </c>
      <c r="V15" s="12">
        <v>3300.64</v>
      </c>
      <c r="W15" s="13">
        <v>12491.79</v>
      </c>
    </row>
    <row r="16" spans="1:23">
      <c r="A16" s="8" t="s">
        <v>27</v>
      </c>
      <c r="B16" s="19" t="s">
        <v>28</v>
      </c>
      <c r="C16" s="20"/>
      <c r="D16" s="12">
        <v>1004.34</v>
      </c>
      <c r="E16" s="12">
        <v>1040.42</v>
      </c>
      <c r="F16" s="12">
        <v>1058.3599999999999</v>
      </c>
      <c r="G16" s="12">
        <v>1114.07</v>
      </c>
      <c r="H16" s="13">
        <v>4217.1899999999996</v>
      </c>
      <c r="I16" s="12">
        <v>1073.69</v>
      </c>
      <c r="J16" s="12">
        <v>1112.26</v>
      </c>
      <c r="K16" s="12">
        <v>1132.3399999999999</v>
      </c>
      <c r="L16" s="12">
        <v>1190.99</v>
      </c>
      <c r="M16" s="13">
        <v>4509.28</v>
      </c>
      <c r="N16" s="12">
        <v>1161.27</v>
      </c>
      <c r="O16" s="12">
        <v>1202.98</v>
      </c>
      <c r="P16" s="12">
        <v>1225.67</v>
      </c>
      <c r="Q16" s="12">
        <v>1288.1300000000001</v>
      </c>
      <c r="R16" s="13">
        <v>4878.05</v>
      </c>
      <c r="S16" s="12">
        <v>1260.74</v>
      </c>
      <c r="T16" s="12">
        <v>1306.03</v>
      </c>
      <c r="U16" s="12">
        <v>1328.55</v>
      </c>
      <c r="V16" s="12">
        <v>1398.47</v>
      </c>
      <c r="W16" s="13">
        <v>5293.79</v>
      </c>
    </row>
    <row r="17" spans="1:23">
      <c r="A17" s="8" t="s">
        <v>8</v>
      </c>
      <c r="B17" s="19" t="s">
        <v>29</v>
      </c>
      <c r="C17" s="20"/>
      <c r="D17" s="12">
        <v>481.73</v>
      </c>
      <c r="E17" s="12">
        <v>499.81</v>
      </c>
      <c r="F17" s="12">
        <v>506.58</v>
      </c>
      <c r="G17" s="12">
        <v>533.24</v>
      </c>
      <c r="H17" s="13">
        <v>2021.36</v>
      </c>
      <c r="I17" s="12">
        <v>516.54999999999995</v>
      </c>
      <c r="J17" s="12">
        <v>535.92999999999995</v>
      </c>
      <c r="K17" s="12">
        <v>543.62</v>
      </c>
      <c r="L17" s="12">
        <v>571.78</v>
      </c>
      <c r="M17" s="14">
        <v>2167.88</v>
      </c>
      <c r="N17" s="12">
        <v>560.36</v>
      </c>
      <c r="O17" s="12">
        <v>581.39</v>
      </c>
      <c r="P17" s="12">
        <v>590.20000000000005</v>
      </c>
      <c r="Q17" s="12">
        <v>620.27</v>
      </c>
      <c r="R17" s="13">
        <v>2352.2199999999998</v>
      </c>
      <c r="S17" s="12">
        <v>610.17999999999995</v>
      </c>
      <c r="T17" s="12">
        <v>633.08000000000004</v>
      </c>
      <c r="U17" s="12">
        <v>641.65</v>
      </c>
      <c r="V17" s="12">
        <v>675.42</v>
      </c>
      <c r="W17" s="13">
        <v>2560.33</v>
      </c>
    </row>
    <row r="18" spans="1:23">
      <c r="A18" s="8" t="s">
        <v>30</v>
      </c>
      <c r="B18" s="19" t="s">
        <v>31</v>
      </c>
      <c r="C18" s="20"/>
      <c r="D18" s="12">
        <v>1121.8499999999999</v>
      </c>
      <c r="E18" s="12">
        <v>1167.43</v>
      </c>
      <c r="F18" s="12">
        <v>1184.68</v>
      </c>
      <c r="G18" s="12">
        <v>1247.03</v>
      </c>
      <c r="H18" s="13">
        <v>4720.99</v>
      </c>
      <c r="I18" s="12">
        <v>1206.57</v>
      </c>
      <c r="J18" s="12">
        <v>1255.5999999999999</v>
      </c>
      <c r="K18" s="12">
        <v>1275.1600000000001</v>
      </c>
      <c r="L18" s="12">
        <v>1341.2</v>
      </c>
      <c r="M18" s="13">
        <v>5078.53</v>
      </c>
      <c r="N18" s="12">
        <v>1312.84</v>
      </c>
      <c r="O18" s="12">
        <v>1366.19</v>
      </c>
      <c r="P18" s="12">
        <v>1388.57</v>
      </c>
      <c r="Q18" s="12">
        <v>1459.33</v>
      </c>
      <c r="R18" s="13">
        <v>5526.93</v>
      </c>
      <c r="S18" s="12">
        <v>1433.83</v>
      </c>
      <c r="T18" s="12">
        <v>1492.09</v>
      </c>
      <c r="U18" s="12">
        <v>1514.12</v>
      </c>
      <c r="V18" s="12">
        <v>1593.81</v>
      </c>
      <c r="W18" s="13">
        <v>6033.85</v>
      </c>
    </row>
    <row r="19" spans="1:23">
      <c r="A19" s="8" t="s">
        <v>32</v>
      </c>
      <c r="B19" s="19" t="s">
        <v>33</v>
      </c>
      <c r="C19" s="20"/>
      <c r="D19" s="12">
        <v>656.62</v>
      </c>
      <c r="E19" s="12">
        <v>681.04</v>
      </c>
      <c r="F19" s="12">
        <v>691.94</v>
      </c>
      <c r="G19" s="12">
        <v>728.36</v>
      </c>
      <c r="H19" s="13">
        <v>2757.96</v>
      </c>
      <c r="I19" s="12">
        <v>697.79</v>
      </c>
      <c r="J19" s="12">
        <v>723.74</v>
      </c>
      <c r="K19" s="12">
        <v>735.9</v>
      </c>
      <c r="L19" s="12">
        <v>774.02</v>
      </c>
      <c r="M19" s="13">
        <v>2931.45</v>
      </c>
      <c r="N19" s="12">
        <v>750.19</v>
      </c>
      <c r="O19" s="12">
        <v>778.09</v>
      </c>
      <c r="P19" s="12">
        <v>791.8</v>
      </c>
      <c r="Q19" s="12">
        <v>832.14</v>
      </c>
      <c r="R19" s="13">
        <v>3152.22</v>
      </c>
      <c r="S19" s="12">
        <v>809.55</v>
      </c>
      <c r="T19" s="12">
        <v>839.65</v>
      </c>
      <c r="U19" s="12">
        <v>853.09</v>
      </c>
      <c r="V19" s="12">
        <v>897.99</v>
      </c>
      <c r="W19" s="13">
        <v>3400.28</v>
      </c>
    </row>
    <row r="20" spans="1:23">
      <c r="A20" s="8" t="s">
        <v>34</v>
      </c>
      <c r="B20" s="19" t="s">
        <v>35</v>
      </c>
      <c r="C20" s="20"/>
      <c r="D20" s="12">
        <v>711.08</v>
      </c>
      <c r="E20" s="12">
        <v>735.08</v>
      </c>
      <c r="F20" s="12">
        <v>747.75</v>
      </c>
      <c r="G20" s="12">
        <v>787.1</v>
      </c>
      <c r="H20" s="13">
        <v>2981.01</v>
      </c>
      <c r="I20" s="12">
        <v>757.91</v>
      </c>
      <c r="J20" s="12">
        <v>783.49</v>
      </c>
      <c r="K20" s="12">
        <v>797.63</v>
      </c>
      <c r="L20" s="12">
        <v>838.93</v>
      </c>
      <c r="M20" s="13">
        <v>3177.96</v>
      </c>
      <c r="N20" s="12">
        <v>817.27</v>
      </c>
      <c r="O20" s="12">
        <v>844.85</v>
      </c>
      <c r="P20" s="12">
        <v>860.79</v>
      </c>
      <c r="Q20" s="12">
        <v>904.65</v>
      </c>
      <c r="R20" s="13">
        <v>3427.56</v>
      </c>
      <c r="S20" s="12">
        <v>884.61</v>
      </c>
      <c r="T20" s="12">
        <v>914.47</v>
      </c>
      <c r="U20" s="12">
        <v>930.23</v>
      </c>
      <c r="V20" s="12">
        <v>979.19</v>
      </c>
      <c r="W20" s="13">
        <v>3708.5</v>
      </c>
    </row>
    <row r="21" spans="1:23">
      <c r="A21" s="8" t="s">
        <v>36</v>
      </c>
      <c r="B21" s="19" t="s">
        <v>37</v>
      </c>
      <c r="C21" s="20"/>
      <c r="D21" s="12">
        <v>315.39</v>
      </c>
      <c r="E21" s="12">
        <v>328.6</v>
      </c>
      <c r="F21" s="12">
        <v>333.05</v>
      </c>
      <c r="G21" s="12">
        <v>350.59</v>
      </c>
      <c r="H21" s="13">
        <v>1327.63</v>
      </c>
      <c r="I21" s="12">
        <v>337.17</v>
      </c>
      <c r="J21" s="12">
        <v>351.3</v>
      </c>
      <c r="K21" s="12">
        <v>356.33</v>
      </c>
      <c r="L21" s="12">
        <v>374.79</v>
      </c>
      <c r="M21" s="13">
        <v>1419.59</v>
      </c>
      <c r="N21" s="12">
        <v>364.67</v>
      </c>
      <c r="O21" s="12">
        <v>379.95</v>
      </c>
      <c r="P21" s="12">
        <v>385.7</v>
      </c>
      <c r="Q21" s="12">
        <v>405.36</v>
      </c>
      <c r="R21" s="13">
        <v>1535.68</v>
      </c>
      <c r="S21" s="12">
        <v>395.91</v>
      </c>
      <c r="T21" s="12">
        <v>412.49</v>
      </c>
      <c r="U21" s="12">
        <v>418.08</v>
      </c>
      <c r="V21" s="12">
        <v>440.08</v>
      </c>
      <c r="W21" s="13">
        <v>1666.56</v>
      </c>
    </row>
    <row r="22" spans="1:23">
      <c r="A22" s="8" t="s">
        <v>38</v>
      </c>
      <c r="B22" s="19" t="s">
        <v>39</v>
      </c>
      <c r="C22" s="20"/>
      <c r="D22" s="12">
        <v>573.63</v>
      </c>
      <c r="E22" s="12">
        <v>595.67999999999995</v>
      </c>
      <c r="F22" s="12">
        <v>604.48</v>
      </c>
      <c r="G22" s="12">
        <v>636.29</v>
      </c>
      <c r="H22" s="13">
        <v>2410.08</v>
      </c>
      <c r="I22" s="12">
        <v>615.09</v>
      </c>
      <c r="J22" s="12">
        <v>638.73</v>
      </c>
      <c r="K22" s="12">
        <v>648.67999999999995</v>
      </c>
      <c r="L22" s="12">
        <v>682.28</v>
      </c>
      <c r="M22" s="13">
        <v>2584.7800000000002</v>
      </c>
      <c r="N22" s="12">
        <v>667.25</v>
      </c>
      <c r="O22" s="12">
        <v>692.91</v>
      </c>
      <c r="P22" s="12">
        <v>704.26</v>
      </c>
      <c r="Q22" s="12">
        <v>740.15</v>
      </c>
      <c r="R22" s="13">
        <v>2804.57</v>
      </c>
      <c r="S22" s="12">
        <v>726.58</v>
      </c>
      <c r="T22" s="12">
        <v>754.52</v>
      </c>
      <c r="U22" s="12">
        <v>765.66</v>
      </c>
      <c r="V22" s="12">
        <v>805.95</v>
      </c>
      <c r="W22" s="13">
        <v>3052.71</v>
      </c>
    </row>
    <row r="23" spans="1:23">
      <c r="A23" s="8" t="s">
        <v>40</v>
      </c>
      <c r="B23" s="19" t="s">
        <v>41</v>
      </c>
      <c r="C23" s="19"/>
      <c r="D23" s="15">
        <v>793.59</v>
      </c>
      <c r="E23" s="12">
        <v>821.37</v>
      </c>
      <c r="F23" s="12">
        <v>834.51</v>
      </c>
      <c r="G23" s="12">
        <v>878.44</v>
      </c>
      <c r="H23" s="13">
        <v>3327.91</v>
      </c>
      <c r="I23" s="12">
        <v>853.52</v>
      </c>
      <c r="J23" s="12">
        <v>883.4</v>
      </c>
      <c r="K23" s="12">
        <v>898.25</v>
      </c>
      <c r="L23" s="12">
        <v>944.78</v>
      </c>
      <c r="M23" s="13">
        <v>3579.95</v>
      </c>
      <c r="N23" s="12">
        <v>928.69</v>
      </c>
      <c r="O23" s="12">
        <v>961.21</v>
      </c>
      <c r="P23" s="12">
        <v>978.14</v>
      </c>
      <c r="Q23" s="12">
        <v>1027.99</v>
      </c>
      <c r="R23" s="13">
        <v>3896.03</v>
      </c>
      <c r="S23" s="12">
        <v>1014.28</v>
      </c>
      <c r="T23" s="12">
        <v>1049.79</v>
      </c>
      <c r="U23" s="12">
        <v>1066.5899999999999</v>
      </c>
      <c r="V23" s="12">
        <v>1122.71</v>
      </c>
      <c r="W23" s="13">
        <v>4253.37</v>
      </c>
    </row>
    <row r="24" spans="1:23">
      <c r="A24" s="8" t="s">
        <v>42</v>
      </c>
      <c r="B24" s="19" t="s">
        <v>43</v>
      </c>
      <c r="C24" s="19"/>
      <c r="D24" s="15">
        <v>318.52</v>
      </c>
      <c r="E24" s="12">
        <v>330.65</v>
      </c>
      <c r="F24" s="12">
        <v>336.35</v>
      </c>
      <c r="G24" s="12">
        <v>354.06</v>
      </c>
      <c r="H24" s="13">
        <v>1339.58</v>
      </c>
      <c r="I24" s="12">
        <v>338.49</v>
      </c>
      <c r="J24" s="12">
        <v>351.38</v>
      </c>
      <c r="K24" s="12">
        <v>357.73</v>
      </c>
      <c r="L24" s="12">
        <v>376.25</v>
      </c>
      <c r="M24" s="13">
        <v>1423.85</v>
      </c>
      <c r="N24" s="12">
        <v>363.9</v>
      </c>
      <c r="O24" s="12">
        <v>377.77</v>
      </c>
      <c r="P24" s="12">
        <v>384.9</v>
      </c>
      <c r="Q24" s="12">
        <v>404.51</v>
      </c>
      <c r="R24" s="13">
        <v>1531.08</v>
      </c>
      <c r="S24" s="12">
        <v>392.7</v>
      </c>
      <c r="T24" s="12">
        <v>407.66</v>
      </c>
      <c r="U24" s="12">
        <v>414.69</v>
      </c>
      <c r="V24" s="12">
        <v>436.52</v>
      </c>
      <c r="W24" s="13">
        <v>1651.57</v>
      </c>
    </row>
    <row r="25" spans="1:23">
      <c r="A25" s="8" t="s">
        <v>44</v>
      </c>
      <c r="B25" s="19" t="s">
        <v>45</v>
      </c>
      <c r="C25" s="19"/>
      <c r="D25" s="15">
        <v>149.33000000000001</v>
      </c>
      <c r="E25" s="12">
        <v>155.26</v>
      </c>
      <c r="F25" s="12">
        <v>157.36000000000001</v>
      </c>
      <c r="G25" s="12">
        <v>165.63</v>
      </c>
      <c r="H25" s="13">
        <v>627.58000000000004</v>
      </c>
      <c r="I25" s="12">
        <v>159.16</v>
      </c>
      <c r="J25" s="12">
        <v>165.48</v>
      </c>
      <c r="K25" s="12">
        <v>167.85</v>
      </c>
      <c r="L25" s="12">
        <v>176.55</v>
      </c>
      <c r="M25" s="13">
        <v>669.04</v>
      </c>
      <c r="N25" s="12">
        <v>171.63</v>
      </c>
      <c r="O25" s="12">
        <v>178.44</v>
      </c>
      <c r="P25" s="12">
        <v>181.15</v>
      </c>
      <c r="Q25" s="12">
        <v>190.37</v>
      </c>
      <c r="R25" s="13">
        <v>721.59</v>
      </c>
      <c r="S25" s="12">
        <v>185.77</v>
      </c>
      <c r="T25" s="12">
        <v>193.15</v>
      </c>
      <c r="U25" s="12">
        <v>195.76</v>
      </c>
      <c r="V25" s="12">
        <v>206.06</v>
      </c>
      <c r="W25" s="13">
        <v>780.74</v>
      </c>
    </row>
    <row r="26" spans="1:23">
      <c r="A26" s="18" t="s">
        <v>46</v>
      </c>
      <c r="B26" s="18"/>
      <c r="C26" s="18"/>
      <c r="D26" s="16">
        <v>18633.52</v>
      </c>
      <c r="E26" s="16">
        <v>19328.189999999999</v>
      </c>
      <c r="F26" s="16">
        <v>19627.63</v>
      </c>
      <c r="G26" s="16">
        <v>20660.66</v>
      </c>
      <c r="H26" s="16">
        <v>78250</v>
      </c>
      <c r="I26" s="16">
        <v>19894.03</v>
      </c>
      <c r="J26" s="16">
        <v>20635.66</v>
      </c>
      <c r="K26" s="16">
        <v>20972.05</v>
      </c>
      <c r="L26" s="16">
        <v>22058.27</v>
      </c>
      <c r="M26" s="16">
        <v>83560.009999999995</v>
      </c>
      <c r="N26" s="16">
        <v>21488.46</v>
      </c>
      <c r="O26" s="16">
        <v>22289.52</v>
      </c>
      <c r="P26" s="16">
        <v>22670.91</v>
      </c>
      <c r="Q26" s="16">
        <v>23826.12</v>
      </c>
      <c r="R26" s="16">
        <v>90275.01</v>
      </c>
      <c r="S26" s="16">
        <v>23298.53</v>
      </c>
      <c r="T26" s="16">
        <v>24167</v>
      </c>
      <c r="U26" s="16">
        <v>24541.43</v>
      </c>
      <c r="V26" s="16">
        <v>25833.05</v>
      </c>
      <c r="W26" s="16">
        <v>97840.01</v>
      </c>
    </row>
    <row r="27" spans="1:23">
      <c r="A27" s="18" t="s">
        <v>47</v>
      </c>
      <c r="B27" s="18"/>
      <c r="C27" s="18"/>
      <c r="D27" s="16">
        <v>18633.52</v>
      </c>
      <c r="E27" s="16">
        <v>19328.189999999999</v>
      </c>
      <c r="F27" s="16">
        <v>19627.63</v>
      </c>
      <c r="G27" s="16">
        <v>20660.66</v>
      </c>
      <c r="H27" s="16">
        <v>78250</v>
      </c>
      <c r="I27" s="16">
        <v>19894.03</v>
      </c>
      <c r="J27" s="16">
        <v>20635.66</v>
      </c>
      <c r="K27" s="16">
        <v>20972.05</v>
      </c>
      <c r="L27" s="16">
        <v>22058.27</v>
      </c>
      <c r="M27" s="16">
        <v>83560.009999999995</v>
      </c>
      <c r="N27" s="16">
        <v>21488.46</v>
      </c>
      <c r="O27" s="16">
        <v>22289.52</v>
      </c>
      <c r="P27" s="16">
        <v>22670.91</v>
      </c>
      <c r="Q27" s="16">
        <v>23826.12</v>
      </c>
      <c r="R27" s="16">
        <v>90275.01</v>
      </c>
      <c r="S27" s="16">
        <v>23298.53</v>
      </c>
      <c r="T27" s="16">
        <v>24167</v>
      </c>
      <c r="U27" s="16">
        <v>24541.43</v>
      </c>
      <c r="V27" s="16">
        <v>25833.05</v>
      </c>
      <c r="W27" s="16">
        <v>97840.01</v>
      </c>
    </row>
    <row r="28" spans="1:23">
      <c r="A28" s="1"/>
      <c r="B28" s="1"/>
      <c r="C28" s="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>
      <c r="A29" s="1"/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5">
      <c r="A30" s="21" t="s">
        <v>48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ht="15">
      <c r="A31" s="22" t="s">
        <v>1</v>
      </c>
      <c r="B31" s="2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>
      <c r="A33" s="23" t="s">
        <v>2</v>
      </c>
      <c r="B33" s="24" t="s">
        <v>3</v>
      </c>
      <c r="C33" s="24"/>
      <c r="D33" s="25" t="s">
        <v>4</v>
      </c>
      <c r="E33" s="25"/>
      <c r="F33" s="25"/>
      <c r="G33" s="25"/>
      <c r="H33" s="25"/>
      <c r="I33" s="25" t="s">
        <v>5</v>
      </c>
      <c r="J33" s="25"/>
      <c r="K33" s="25"/>
      <c r="L33" s="25"/>
      <c r="M33" s="25"/>
      <c r="N33" s="25" t="s">
        <v>6</v>
      </c>
      <c r="O33" s="25"/>
      <c r="P33" s="25"/>
      <c r="Q33" s="25"/>
      <c r="R33" s="25"/>
      <c r="S33" s="25" t="s">
        <v>7</v>
      </c>
      <c r="T33" s="25"/>
      <c r="U33" s="25"/>
      <c r="V33" s="25"/>
      <c r="W33" s="25"/>
    </row>
    <row r="34" spans="1:23" ht="15">
      <c r="A34" s="23"/>
      <c r="B34" s="24"/>
      <c r="C34" s="24"/>
      <c r="D34" s="3" t="s">
        <v>8</v>
      </c>
      <c r="E34" s="3" t="s">
        <v>9</v>
      </c>
      <c r="F34" s="3" t="s">
        <v>10</v>
      </c>
      <c r="G34" s="3" t="s">
        <v>11</v>
      </c>
      <c r="H34" s="3" t="s">
        <v>12</v>
      </c>
      <c r="I34" s="3" t="s">
        <v>8</v>
      </c>
      <c r="J34" s="3" t="s">
        <v>9</v>
      </c>
      <c r="K34" s="3" t="s">
        <v>10</v>
      </c>
      <c r="L34" s="3" t="s">
        <v>11</v>
      </c>
      <c r="M34" s="3" t="s">
        <v>12</v>
      </c>
      <c r="N34" s="3" t="s">
        <v>8</v>
      </c>
      <c r="O34" s="3" t="s">
        <v>9</v>
      </c>
      <c r="P34" s="3" t="s">
        <v>10</v>
      </c>
      <c r="Q34" s="3" t="s">
        <v>11</v>
      </c>
      <c r="R34" s="3" t="s">
        <v>12</v>
      </c>
      <c r="S34" s="3" t="s">
        <v>8</v>
      </c>
      <c r="T34" s="3" t="s">
        <v>9</v>
      </c>
      <c r="U34" s="3" t="s">
        <v>10</v>
      </c>
      <c r="V34" s="3" t="s">
        <v>11</v>
      </c>
      <c r="W34" s="3" t="s">
        <v>12</v>
      </c>
    </row>
    <row r="35" spans="1:23">
      <c r="A35" s="1"/>
      <c r="B35" s="1"/>
      <c r="C35" s="1"/>
      <c r="D35" s="1"/>
      <c r="E35" s="1"/>
      <c r="F35" s="1"/>
      <c r="G35" s="1"/>
      <c r="H35" s="6"/>
      <c r="I35" s="1"/>
      <c r="J35" s="1"/>
      <c r="K35" s="1"/>
      <c r="L35" s="1"/>
      <c r="M35" s="6"/>
      <c r="N35" s="1"/>
      <c r="O35" s="1"/>
      <c r="P35" s="1"/>
      <c r="Q35" s="1"/>
      <c r="R35" s="6"/>
      <c r="S35" s="1"/>
      <c r="T35" s="1"/>
      <c r="U35" s="1"/>
      <c r="V35" s="1"/>
      <c r="W35" s="6"/>
    </row>
    <row r="36" spans="1:23">
      <c r="A36" s="4" t="s">
        <v>49</v>
      </c>
      <c r="B36" s="11"/>
      <c r="C36" s="4">
        <f>A36+1</f>
        <v>2</v>
      </c>
      <c r="D36" s="4">
        <f>C36+1</f>
        <v>3</v>
      </c>
      <c r="E36" s="4">
        <f t="shared" ref="E36:W36" si="1">D36+1</f>
        <v>4</v>
      </c>
      <c r="F36" s="4">
        <f t="shared" si="1"/>
        <v>5</v>
      </c>
      <c r="G36" s="4">
        <f t="shared" si="1"/>
        <v>6</v>
      </c>
      <c r="H36" s="7">
        <f t="shared" si="1"/>
        <v>7</v>
      </c>
      <c r="I36" s="4">
        <f t="shared" si="1"/>
        <v>8</v>
      </c>
      <c r="J36" s="4">
        <f t="shared" si="1"/>
        <v>9</v>
      </c>
      <c r="K36" s="4">
        <f t="shared" si="1"/>
        <v>10</v>
      </c>
      <c r="L36" s="4">
        <f t="shared" si="1"/>
        <v>11</v>
      </c>
      <c r="M36" s="7">
        <f t="shared" si="1"/>
        <v>12</v>
      </c>
      <c r="N36" s="4">
        <f t="shared" si="1"/>
        <v>13</v>
      </c>
      <c r="O36" s="4">
        <f t="shared" si="1"/>
        <v>14</v>
      </c>
      <c r="P36" s="4">
        <f t="shared" si="1"/>
        <v>15</v>
      </c>
      <c r="Q36" s="4">
        <f t="shared" si="1"/>
        <v>16</v>
      </c>
      <c r="R36" s="7">
        <f t="shared" si="1"/>
        <v>17</v>
      </c>
      <c r="S36" s="4">
        <f t="shared" si="1"/>
        <v>18</v>
      </c>
      <c r="T36" s="4">
        <f t="shared" si="1"/>
        <v>19</v>
      </c>
      <c r="U36" s="4">
        <f t="shared" si="1"/>
        <v>20</v>
      </c>
      <c r="V36" s="4">
        <f t="shared" si="1"/>
        <v>21</v>
      </c>
      <c r="W36" s="7">
        <f t="shared" si="1"/>
        <v>22</v>
      </c>
    </row>
    <row r="37" spans="1:23">
      <c r="A37" s="1"/>
      <c r="B37" s="1"/>
      <c r="C37" s="1"/>
      <c r="D37" s="1"/>
      <c r="E37" s="1"/>
      <c r="F37" s="1"/>
      <c r="G37" s="1"/>
      <c r="H37" s="6"/>
      <c r="I37" s="1"/>
      <c r="J37" s="1"/>
      <c r="K37" s="1"/>
      <c r="L37" s="1"/>
      <c r="M37" s="6"/>
      <c r="N37" s="1"/>
      <c r="O37" s="1"/>
      <c r="P37" s="1"/>
      <c r="Q37" s="1"/>
      <c r="R37" s="6"/>
      <c r="S37" s="1"/>
      <c r="T37" s="1"/>
      <c r="U37" s="1"/>
      <c r="V37" s="1"/>
      <c r="W37" s="6"/>
    </row>
    <row r="38" spans="1:23">
      <c r="A38" s="8" t="s">
        <v>13</v>
      </c>
      <c r="B38" s="19" t="s">
        <v>14</v>
      </c>
      <c r="C38" s="20"/>
      <c r="D38" s="12">
        <v>1408.77</v>
      </c>
      <c r="E38" s="12">
        <v>1467.79</v>
      </c>
      <c r="F38" s="12">
        <v>1487.66</v>
      </c>
      <c r="G38" s="12">
        <v>1565.94</v>
      </c>
      <c r="H38" s="13">
        <v>5930.16</v>
      </c>
      <c r="I38" s="12">
        <v>1458.61</v>
      </c>
      <c r="J38" s="12">
        <v>1519.72</v>
      </c>
      <c r="K38" s="12">
        <v>1541.52</v>
      </c>
      <c r="L38" s="12">
        <v>1621.36</v>
      </c>
      <c r="M38" s="13">
        <v>6141.21</v>
      </c>
      <c r="N38" s="12">
        <v>1525.52</v>
      </c>
      <c r="O38" s="12">
        <v>1589.43</v>
      </c>
      <c r="P38" s="12">
        <v>1613.51</v>
      </c>
      <c r="Q38" s="12">
        <v>1695.73</v>
      </c>
      <c r="R38" s="13">
        <v>6424.19</v>
      </c>
      <c r="S38" s="12">
        <v>1600.96</v>
      </c>
      <c r="T38" s="12">
        <v>1668.04</v>
      </c>
      <c r="U38" s="12">
        <v>1690.62</v>
      </c>
      <c r="V38" s="12">
        <v>1779.6</v>
      </c>
      <c r="W38" s="13">
        <v>6739.22</v>
      </c>
    </row>
    <row r="39" spans="1:23">
      <c r="A39" s="8" t="s">
        <v>15</v>
      </c>
      <c r="B39" s="19" t="s">
        <v>16</v>
      </c>
      <c r="C39" s="20"/>
      <c r="D39" s="12">
        <v>160.83000000000001</v>
      </c>
      <c r="E39" s="12">
        <v>167.01</v>
      </c>
      <c r="F39" s="12">
        <v>169.48</v>
      </c>
      <c r="G39" s="12">
        <v>178.39</v>
      </c>
      <c r="H39" s="13">
        <v>675.71</v>
      </c>
      <c r="I39" s="12">
        <v>166.85</v>
      </c>
      <c r="J39" s="12">
        <v>173.26</v>
      </c>
      <c r="K39" s="12">
        <v>175.96</v>
      </c>
      <c r="L39" s="12">
        <v>185.08</v>
      </c>
      <c r="M39" s="13">
        <v>701.15</v>
      </c>
      <c r="N39" s="12">
        <v>174.85</v>
      </c>
      <c r="O39" s="12">
        <v>181.57</v>
      </c>
      <c r="P39" s="12">
        <v>184.55</v>
      </c>
      <c r="Q39" s="12">
        <v>193.96</v>
      </c>
      <c r="R39" s="13">
        <v>734.93</v>
      </c>
      <c r="S39" s="12">
        <v>183.87</v>
      </c>
      <c r="T39" s="12">
        <v>190.94</v>
      </c>
      <c r="U39" s="12">
        <v>193.76</v>
      </c>
      <c r="V39" s="12">
        <v>203.95</v>
      </c>
      <c r="W39" s="13">
        <v>772.52</v>
      </c>
    </row>
    <row r="40" spans="1:23">
      <c r="A40" s="8" t="s">
        <v>17</v>
      </c>
      <c r="B40" s="19" t="s">
        <v>18</v>
      </c>
      <c r="C40" s="20"/>
      <c r="D40" s="12">
        <v>4217.05</v>
      </c>
      <c r="E40" s="12">
        <v>4364.6899999999996</v>
      </c>
      <c r="F40" s="12">
        <v>4434.53</v>
      </c>
      <c r="G40" s="12">
        <v>4667.9399999999996</v>
      </c>
      <c r="H40" s="13">
        <v>17684.21</v>
      </c>
      <c r="I40" s="12">
        <v>4383.72</v>
      </c>
      <c r="J40" s="12">
        <v>4537.2</v>
      </c>
      <c r="K40" s="12">
        <v>4613.4799999999996</v>
      </c>
      <c r="L40" s="12">
        <v>4852.43</v>
      </c>
      <c r="M40" s="13">
        <v>18386.830000000002</v>
      </c>
      <c r="N40" s="12">
        <v>4603.18</v>
      </c>
      <c r="O40" s="12">
        <v>4764.34</v>
      </c>
      <c r="P40" s="12">
        <v>4848.3</v>
      </c>
      <c r="Q40" s="12">
        <v>5095.3500000000004</v>
      </c>
      <c r="R40" s="13">
        <v>19311.169999999998</v>
      </c>
      <c r="S40" s="12">
        <v>4850.25</v>
      </c>
      <c r="T40" s="12">
        <v>5020.0600000000004</v>
      </c>
      <c r="U40" s="12">
        <v>5100.38</v>
      </c>
      <c r="V40" s="12">
        <v>5368.82</v>
      </c>
      <c r="W40" s="13">
        <v>20339.509999999998</v>
      </c>
    </row>
    <row r="41" spans="1:23">
      <c r="A41" s="8" t="s">
        <v>19</v>
      </c>
      <c r="B41" s="19" t="s">
        <v>20</v>
      </c>
      <c r="C41" s="20"/>
      <c r="D41" s="12">
        <v>39.92</v>
      </c>
      <c r="E41" s="12">
        <v>41.45</v>
      </c>
      <c r="F41" s="12">
        <v>42.16</v>
      </c>
      <c r="G41" s="12">
        <v>44.38</v>
      </c>
      <c r="H41" s="13">
        <v>167.91</v>
      </c>
      <c r="I41" s="12">
        <v>41.59</v>
      </c>
      <c r="J41" s="12">
        <v>43.17</v>
      </c>
      <c r="K41" s="12">
        <v>43.95</v>
      </c>
      <c r="L41" s="12">
        <v>46.23</v>
      </c>
      <c r="M41" s="13">
        <v>174.94</v>
      </c>
      <c r="N41" s="12">
        <v>43.76</v>
      </c>
      <c r="O41" s="12">
        <v>45.42</v>
      </c>
      <c r="P41" s="12">
        <v>46.28</v>
      </c>
      <c r="Q41" s="12">
        <v>48.64</v>
      </c>
      <c r="R41" s="13">
        <v>184.1</v>
      </c>
      <c r="S41" s="12">
        <v>46.2</v>
      </c>
      <c r="T41" s="12">
        <v>47.96</v>
      </c>
      <c r="U41" s="12">
        <v>48.78</v>
      </c>
      <c r="V41" s="12">
        <v>51.35</v>
      </c>
      <c r="W41" s="13">
        <v>194.29</v>
      </c>
    </row>
    <row r="42" spans="1:23">
      <c r="A42" s="8" t="s">
        <v>21</v>
      </c>
      <c r="B42" s="19" t="s">
        <v>22</v>
      </c>
      <c r="C42" s="20"/>
      <c r="D42" s="12">
        <v>26.88</v>
      </c>
      <c r="E42" s="12">
        <v>27.94</v>
      </c>
      <c r="F42" s="12">
        <v>28.32</v>
      </c>
      <c r="G42" s="12">
        <v>29.82</v>
      </c>
      <c r="H42" s="13">
        <v>112.96</v>
      </c>
      <c r="I42" s="12">
        <v>27.83</v>
      </c>
      <c r="J42" s="12">
        <v>28.93</v>
      </c>
      <c r="K42" s="12">
        <v>29.35</v>
      </c>
      <c r="L42" s="12">
        <v>30.87</v>
      </c>
      <c r="M42" s="13">
        <v>116.98</v>
      </c>
      <c r="N42" s="12">
        <v>29.11</v>
      </c>
      <c r="O42" s="12">
        <v>30.26</v>
      </c>
      <c r="P42" s="12">
        <v>30.72</v>
      </c>
      <c r="Q42" s="12">
        <v>32.28</v>
      </c>
      <c r="R42" s="13">
        <v>122.37</v>
      </c>
      <c r="S42" s="12">
        <v>30.54</v>
      </c>
      <c r="T42" s="12">
        <v>31.76</v>
      </c>
      <c r="U42" s="12">
        <v>32.19</v>
      </c>
      <c r="V42" s="12">
        <v>33.880000000000003</v>
      </c>
      <c r="W42" s="13">
        <v>128.37</v>
      </c>
    </row>
    <row r="43" spans="1:23">
      <c r="A43" s="8" t="s">
        <v>23</v>
      </c>
      <c r="B43" s="19" t="s">
        <v>24</v>
      </c>
      <c r="C43" s="20"/>
      <c r="D43" s="12">
        <v>1409.49</v>
      </c>
      <c r="E43" s="12">
        <v>1460.6</v>
      </c>
      <c r="F43" s="12">
        <v>1482.18</v>
      </c>
      <c r="G43" s="12">
        <v>1560.18</v>
      </c>
      <c r="H43" s="13">
        <v>5912.45</v>
      </c>
      <c r="I43" s="12">
        <v>1462.26</v>
      </c>
      <c r="J43" s="12">
        <v>1515.3</v>
      </c>
      <c r="K43" s="12">
        <v>1538.9</v>
      </c>
      <c r="L43" s="12">
        <v>1618.61</v>
      </c>
      <c r="M43" s="13">
        <v>6135.07</v>
      </c>
      <c r="N43" s="12">
        <v>1532.4</v>
      </c>
      <c r="O43" s="12">
        <v>1587.98</v>
      </c>
      <c r="P43" s="12">
        <v>1614</v>
      </c>
      <c r="Q43" s="12">
        <v>1696.24</v>
      </c>
      <c r="R43" s="13">
        <v>6430.62</v>
      </c>
      <c r="S43" s="12">
        <v>1611.42</v>
      </c>
      <c r="T43" s="12">
        <v>1669.87</v>
      </c>
      <c r="U43" s="12">
        <v>1694.53</v>
      </c>
      <c r="V43" s="12">
        <v>1783.71</v>
      </c>
      <c r="W43" s="13">
        <v>6759.53</v>
      </c>
    </row>
    <row r="44" spans="1:23">
      <c r="A44" s="8" t="s">
        <v>25</v>
      </c>
      <c r="B44" s="19" t="s">
        <v>26</v>
      </c>
      <c r="C44" s="20"/>
      <c r="D44" s="12">
        <v>1708.12</v>
      </c>
      <c r="E44" s="12">
        <v>1775.36</v>
      </c>
      <c r="F44" s="12">
        <v>1803.77</v>
      </c>
      <c r="G44" s="12">
        <v>1898.71</v>
      </c>
      <c r="H44" s="13">
        <v>7185.96</v>
      </c>
      <c r="I44" s="12">
        <v>1775.63</v>
      </c>
      <c r="J44" s="12">
        <v>1845.53</v>
      </c>
      <c r="K44" s="12">
        <v>1876.56</v>
      </c>
      <c r="L44" s="12">
        <v>1973.75</v>
      </c>
      <c r="M44" s="13">
        <v>7471.47</v>
      </c>
      <c r="N44" s="12">
        <v>1864.52</v>
      </c>
      <c r="O44" s="12">
        <v>1937.92</v>
      </c>
      <c r="P44" s="12">
        <v>1972.07</v>
      </c>
      <c r="Q44" s="12">
        <v>2072.5700000000002</v>
      </c>
      <c r="R44" s="13">
        <v>7847.08</v>
      </c>
      <c r="S44" s="12">
        <v>1964.59</v>
      </c>
      <c r="T44" s="12">
        <v>2041.94</v>
      </c>
      <c r="U44" s="12">
        <v>2074.61</v>
      </c>
      <c r="V44" s="12">
        <v>2183.8000000000002</v>
      </c>
      <c r="W44" s="13">
        <v>8264.94</v>
      </c>
    </row>
    <row r="45" spans="1:23">
      <c r="A45" s="8" t="s">
        <v>27</v>
      </c>
      <c r="B45" s="19" t="s">
        <v>28</v>
      </c>
      <c r="C45" s="20"/>
      <c r="D45" s="12">
        <v>719.82</v>
      </c>
      <c r="E45" s="12">
        <v>745.67</v>
      </c>
      <c r="F45" s="12">
        <v>758.53</v>
      </c>
      <c r="G45" s="12">
        <v>798.45</v>
      </c>
      <c r="H45" s="13">
        <v>3022.47</v>
      </c>
      <c r="I45" s="12">
        <v>749.77</v>
      </c>
      <c r="J45" s="12">
        <v>776.7</v>
      </c>
      <c r="K45" s="12">
        <v>790.72</v>
      </c>
      <c r="L45" s="12">
        <v>831.68</v>
      </c>
      <c r="M45" s="13">
        <v>3148.87</v>
      </c>
      <c r="N45" s="12">
        <v>788.88</v>
      </c>
      <c r="O45" s="12">
        <v>817.22</v>
      </c>
      <c r="P45" s="12">
        <v>832.63</v>
      </c>
      <c r="Q45" s="12">
        <v>875.07</v>
      </c>
      <c r="R45" s="13">
        <v>3313.8</v>
      </c>
      <c r="S45" s="12">
        <v>832.88</v>
      </c>
      <c r="T45" s="12">
        <v>862.8</v>
      </c>
      <c r="U45" s="12">
        <v>877.67</v>
      </c>
      <c r="V45" s="12">
        <v>923.87</v>
      </c>
      <c r="W45" s="13">
        <v>3497.22</v>
      </c>
    </row>
    <row r="46" spans="1:23">
      <c r="A46" s="8" t="s">
        <v>8</v>
      </c>
      <c r="B46" s="19" t="s">
        <v>29</v>
      </c>
      <c r="C46" s="20"/>
      <c r="D46" s="12">
        <v>349.96</v>
      </c>
      <c r="E46" s="12">
        <v>363.09</v>
      </c>
      <c r="F46" s="12">
        <v>368</v>
      </c>
      <c r="G46" s="12">
        <v>387.37</v>
      </c>
      <c r="H46" s="13">
        <v>1468.42</v>
      </c>
      <c r="I46" s="12">
        <v>362.34</v>
      </c>
      <c r="J46" s="12">
        <v>375.94</v>
      </c>
      <c r="K46" s="12">
        <v>381.33</v>
      </c>
      <c r="L46" s="12">
        <v>401.07</v>
      </c>
      <c r="M46" s="14">
        <v>1520.68</v>
      </c>
      <c r="N46" s="12">
        <v>378.96</v>
      </c>
      <c r="O46" s="12">
        <v>393.18</v>
      </c>
      <c r="P46" s="12">
        <v>399.14</v>
      </c>
      <c r="Q46" s="12">
        <v>419.47</v>
      </c>
      <c r="R46" s="13">
        <v>1590.75</v>
      </c>
      <c r="S46" s="12">
        <v>397.7</v>
      </c>
      <c r="T46" s="12">
        <v>412.63</v>
      </c>
      <c r="U46" s="12">
        <v>418.21</v>
      </c>
      <c r="V46" s="12">
        <v>440.22</v>
      </c>
      <c r="W46" s="13">
        <v>1668.76</v>
      </c>
    </row>
    <row r="47" spans="1:23">
      <c r="A47" s="8" t="s">
        <v>30</v>
      </c>
      <c r="B47" s="19" t="s">
        <v>31</v>
      </c>
      <c r="C47" s="20"/>
      <c r="D47" s="12">
        <v>816.23</v>
      </c>
      <c r="E47" s="12">
        <v>849.39</v>
      </c>
      <c r="F47" s="12">
        <v>861.93</v>
      </c>
      <c r="G47" s="12">
        <v>907.3</v>
      </c>
      <c r="H47" s="13">
        <v>3434.85</v>
      </c>
      <c r="I47" s="12">
        <v>846.79</v>
      </c>
      <c r="J47" s="12">
        <v>881.2</v>
      </c>
      <c r="K47" s="12">
        <v>894.92</v>
      </c>
      <c r="L47" s="12">
        <v>941.28</v>
      </c>
      <c r="M47" s="13">
        <v>3564.19</v>
      </c>
      <c r="N47" s="12">
        <v>887.41</v>
      </c>
      <c r="O47" s="12">
        <v>923.46</v>
      </c>
      <c r="P47" s="12">
        <v>938.6</v>
      </c>
      <c r="Q47" s="12">
        <v>986.42</v>
      </c>
      <c r="R47" s="13">
        <v>3735.89</v>
      </c>
      <c r="S47" s="12">
        <v>933.17</v>
      </c>
      <c r="T47" s="12">
        <v>971.08</v>
      </c>
      <c r="U47" s="12">
        <v>985.42</v>
      </c>
      <c r="V47" s="12">
        <v>1037.29</v>
      </c>
      <c r="W47" s="13">
        <v>3926.96</v>
      </c>
    </row>
    <row r="48" spans="1:23">
      <c r="A48" s="8" t="s">
        <v>32</v>
      </c>
      <c r="B48" s="19" t="s">
        <v>33</v>
      </c>
      <c r="C48" s="20"/>
      <c r="D48" s="12">
        <v>467.81</v>
      </c>
      <c r="E48" s="12">
        <v>485.21</v>
      </c>
      <c r="F48" s="12">
        <v>492.97</v>
      </c>
      <c r="G48" s="12">
        <v>518.91999999999996</v>
      </c>
      <c r="H48" s="13">
        <v>1964.91</v>
      </c>
      <c r="I48" s="12">
        <v>486.3</v>
      </c>
      <c r="J48" s="12">
        <v>504.39</v>
      </c>
      <c r="K48" s="12">
        <v>512.86</v>
      </c>
      <c r="L48" s="12">
        <v>539.42999999999995</v>
      </c>
      <c r="M48" s="13">
        <v>2042.98</v>
      </c>
      <c r="N48" s="12">
        <v>510.65</v>
      </c>
      <c r="O48" s="12">
        <v>529.64</v>
      </c>
      <c r="P48" s="12">
        <v>538.97</v>
      </c>
      <c r="Q48" s="12">
        <v>566.42999999999995</v>
      </c>
      <c r="R48" s="13">
        <v>2145.69</v>
      </c>
      <c r="S48" s="12">
        <v>538.05999999999995</v>
      </c>
      <c r="T48" s="12">
        <v>558.05999999999995</v>
      </c>
      <c r="U48" s="12">
        <v>566.99</v>
      </c>
      <c r="V48" s="12">
        <v>596.84</v>
      </c>
      <c r="W48" s="13">
        <v>2259.9499999999998</v>
      </c>
    </row>
    <row r="49" spans="1:23">
      <c r="A49" s="8" t="s">
        <v>34</v>
      </c>
      <c r="B49" s="19" t="s">
        <v>35</v>
      </c>
      <c r="C49" s="20"/>
      <c r="D49" s="12">
        <v>507.35</v>
      </c>
      <c r="E49" s="12">
        <v>524.47</v>
      </c>
      <c r="F49" s="12">
        <v>533.51</v>
      </c>
      <c r="G49" s="12">
        <v>561.59</v>
      </c>
      <c r="H49" s="13">
        <v>2126.92</v>
      </c>
      <c r="I49" s="12">
        <v>528.46</v>
      </c>
      <c r="J49" s="12">
        <v>546.29999999999995</v>
      </c>
      <c r="K49" s="12">
        <v>556.16</v>
      </c>
      <c r="L49" s="12">
        <v>584.95000000000005</v>
      </c>
      <c r="M49" s="13">
        <v>2215.87</v>
      </c>
      <c r="N49" s="12">
        <v>556.03</v>
      </c>
      <c r="O49" s="12">
        <v>574.79</v>
      </c>
      <c r="P49" s="12">
        <v>585.63</v>
      </c>
      <c r="Q49" s="12">
        <v>615.48</v>
      </c>
      <c r="R49" s="13">
        <v>2331.9299999999998</v>
      </c>
      <c r="S49" s="12">
        <v>587.04</v>
      </c>
      <c r="T49" s="12">
        <v>606.85</v>
      </c>
      <c r="U49" s="12">
        <v>617.30999999999995</v>
      </c>
      <c r="V49" s="12">
        <v>649.80999999999995</v>
      </c>
      <c r="W49" s="13">
        <v>2461.0100000000002</v>
      </c>
    </row>
    <row r="50" spans="1:23">
      <c r="A50" s="8" t="s">
        <v>36</v>
      </c>
      <c r="B50" s="19" t="s">
        <v>37</v>
      </c>
      <c r="C50" s="20"/>
      <c r="D50" s="12">
        <v>228.09</v>
      </c>
      <c r="E50" s="12">
        <v>237.64</v>
      </c>
      <c r="F50" s="12">
        <v>240.86</v>
      </c>
      <c r="G50" s="12">
        <v>253.53</v>
      </c>
      <c r="H50" s="13">
        <v>960.12</v>
      </c>
      <c r="I50" s="12">
        <v>236.16</v>
      </c>
      <c r="J50" s="12">
        <v>246.05</v>
      </c>
      <c r="K50" s="12">
        <v>249.58</v>
      </c>
      <c r="L50" s="12">
        <v>262.5</v>
      </c>
      <c r="M50" s="13">
        <v>994.29</v>
      </c>
      <c r="N50" s="12">
        <v>246.99</v>
      </c>
      <c r="O50" s="12">
        <v>257.33999999999997</v>
      </c>
      <c r="P50" s="12">
        <v>261.24</v>
      </c>
      <c r="Q50" s="12">
        <v>274.54000000000002</v>
      </c>
      <c r="R50" s="13">
        <v>1040.1099999999999</v>
      </c>
      <c r="S50" s="12">
        <v>259.2</v>
      </c>
      <c r="T50" s="12">
        <v>270.06</v>
      </c>
      <c r="U50" s="12">
        <v>273.72000000000003</v>
      </c>
      <c r="V50" s="12">
        <v>288.13</v>
      </c>
      <c r="W50" s="13">
        <v>1091.1099999999999</v>
      </c>
    </row>
    <row r="51" spans="1:23">
      <c r="A51" s="8" t="s">
        <v>38</v>
      </c>
      <c r="B51" s="19" t="s">
        <v>39</v>
      </c>
      <c r="C51" s="20"/>
      <c r="D51" s="12">
        <v>415.47</v>
      </c>
      <c r="E51" s="12">
        <v>431.44</v>
      </c>
      <c r="F51" s="12">
        <v>437.81</v>
      </c>
      <c r="G51" s="12">
        <v>460.86</v>
      </c>
      <c r="H51" s="13">
        <v>1745.58</v>
      </c>
      <c r="I51" s="12">
        <v>431.03</v>
      </c>
      <c r="J51" s="12">
        <v>447.6</v>
      </c>
      <c r="K51" s="12">
        <v>454.57</v>
      </c>
      <c r="L51" s="12">
        <v>478.11</v>
      </c>
      <c r="M51" s="13">
        <v>1811.31</v>
      </c>
      <c r="N51" s="12">
        <v>451.7</v>
      </c>
      <c r="O51" s="12">
        <v>469.06</v>
      </c>
      <c r="P51" s="12">
        <v>476.75</v>
      </c>
      <c r="Q51" s="12">
        <v>501.05</v>
      </c>
      <c r="R51" s="13">
        <v>1898.56</v>
      </c>
      <c r="S51" s="12">
        <v>474.99</v>
      </c>
      <c r="T51" s="12">
        <v>493.25</v>
      </c>
      <c r="U51" s="12">
        <v>500.54</v>
      </c>
      <c r="V51" s="12">
        <v>526.89</v>
      </c>
      <c r="W51" s="13">
        <v>1995.67</v>
      </c>
    </row>
    <row r="52" spans="1:23">
      <c r="A52" s="8" t="s">
        <v>40</v>
      </c>
      <c r="B52" s="19" t="s">
        <v>41</v>
      </c>
      <c r="C52" s="19"/>
      <c r="D52" s="15">
        <v>575.66</v>
      </c>
      <c r="E52" s="12">
        <v>595.80999999999995</v>
      </c>
      <c r="F52" s="12">
        <v>605.35</v>
      </c>
      <c r="G52" s="12">
        <v>637.21</v>
      </c>
      <c r="H52" s="13">
        <v>2414.0300000000002</v>
      </c>
      <c r="I52" s="12">
        <v>598.41</v>
      </c>
      <c r="J52" s="12">
        <v>619.36</v>
      </c>
      <c r="K52" s="12">
        <v>629.78</v>
      </c>
      <c r="L52" s="12">
        <v>662.4</v>
      </c>
      <c r="M52" s="13">
        <v>2509.9499999999998</v>
      </c>
      <c r="N52" s="12">
        <v>628.37</v>
      </c>
      <c r="O52" s="12">
        <v>650.37</v>
      </c>
      <c r="P52" s="12">
        <v>661.83</v>
      </c>
      <c r="Q52" s="12">
        <v>695.56</v>
      </c>
      <c r="R52" s="13">
        <v>2636.13</v>
      </c>
      <c r="S52" s="12">
        <v>662.1</v>
      </c>
      <c r="T52" s="12">
        <v>685.28</v>
      </c>
      <c r="U52" s="12">
        <v>696.24</v>
      </c>
      <c r="V52" s="12">
        <v>732.88</v>
      </c>
      <c r="W52" s="13">
        <v>2776.5</v>
      </c>
    </row>
    <row r="53" spans="1:23">
      <c r="A53" s="8" t="s">
        <v>42</v>
      </c>
      <c r="B53" s="19" t="s">
        <v>43</v>
      </c>
      <c r="C53" s="19"/>
      <c r="D53" s="15">
        <v>226.25</v>
      </c>
      <c r="E53" s="12">
        <v>234.87</v>
      </c>
      <c r="F53" s="12">
        <v>238.92</v>
      </c>
      <c r="G53" s="12">
        <v>251.48</v>
      </c>
      <c r="H53" s="13">
        <v>951.52</v>
      </c>
      <c r="I53" s="12">
        <v>235.66</v>
      </c>
      <c r="J53" s="12">
        <v>244.64</v>
      </c>
      <c r="K53" s="12">
        <v>249.06</v>
      </c>
      <c r="L53" s="12">
        <v>261.95</v>
      </c>
      <c r="M53" s="13">
        <v>991.31</v>
      </c>
      <c r="N53" s="12">
        <v>247.95</v>
      </c>
      <c r="O53" s="12">
        <v>257.39999999999998</v>
      </c>
      <c r="P53" s="12">
        <v>262.26</v>
      </c>
      <c r="Q53" s="12">
        <v>275.62</v>
      </c>
      <c r="R53" s="13">
        <v>1043.23</v>
      </c>
      <c r="S53" s="12">
        <v>261.77999999999997</v>
      </c>
      <c r="T53" s="12">
        <v>271.76</v>
      </c>
      <c r="U53" s="12">
        <v>276.44</v>
      </c>
      <c r="V53" s="12">
        <v>291</v>
      </c>
      <c r="W53" s="13">
        <v>1100.98</v>
      </c>
    </row>
    <row r="54" spans="1:23">
      <c r="A54" s="8" t="s">
        <v>44</v>
      </c>
      <c r="B54" s="19" t="s">
        <v>45</v>
      </c>
      <c r="C54" s="19"/>
      <c r="D54" s="15">
        <v>107.51</v>
      </c>
      <c r="E54" s="12">
        <v>111.77</v>
      </c>
      <c r="F54" s="12">
        <v>113.29</v>
      </c>
      <c r="G54" s="12">
        <v>119.25</v>
      </c>
      <c r="H54" s="13">
        <v>451.82</v>
      </c>
      <c r="I54" s="12">
        <v>111.31</v>
      </c>
      <c r="J54" s="12">
        <v>115.73</v>
      </c>
      <c r="K54" s="12">
        <v>117.39</v>
      </c>
      <c r="L54" s="12">
        <v>123.47</v>
      </c>
      <c r="M54" s="13">
        <v>467.9</v>
      </c>
      <c r="N54" s="12">
        <v>116.42</v>
      </c>
      <c r="O54" s="12">
        <v>121.04</v>
      </c>
      <c r="P54" s="12">
        <v>122.87</v>
      </c>
      <c r="Q54" s="12">
        <v>129.13</v>
      </c>
      <c r="R54" s="13">
        <v>489.46</v>
      </c>
      <c r="S54" s="12">
        <v>122.17</v>
      </c>
      <c r="T54" s="12">
        <v>127.02</v>
      </c>
      <c r="U54" s="12">
        <v>128.74</v>
      </c>
      <c r="V54" s="12">
        <v>135.53</v>
      </c>
      <c r="W54" s="13">
        <v>513.46</v>
      </c>
    </row>
    <row r="55" spans="1:23">
      <c r="A55" s="18" t="s">
        <v>46</v>
      </c>
      <c r="B55" s="18"/>
      <c r="C55" s="18"/>
      <c r="D55" s="16">
        <v>13385.21</v>
      </c>
      <c r="E55" s="16">
        <v>13884.2</v>
      </c>
      <c r="F55" s="16">
        <v>14099.27</v>
      </c>
      <c r="G55" s="16">
        <v>14841.32</v>
      </c>
      <c r="H55" s="16">
        <v>56210</v>
      </c>
      <c r="I55" s="16">
        <v>13902.72</v>
      </c>
      <c r="J55" s="16">
        <v>14421.02</v>
      </c>
      <c r="K55" s="16">
        <v>14656.09</v>
      </c>
      <c r="L55" s="16">
        <v>15415.17</v>
      </c>
      <c r="M55" s="16">
        <v>58395</v>
      </c>
      <c r="N55" s="16">
        <v>14586.7</v>
      </c>
      <c r="O55" s="16">
        <v>15130.42</v>
      </c>
      <c r="P55" s="16">
        <v>15389.35</v>
      </c>
      <c r="Q55" s="16">
        <v>16173.54</v>
      </c>
      <c r="R55" s="16">
        <v>61280.01</v>
      </c>
      <c r="S55" s="16">
        <v>15356.92</v>
      </c>
      <c r="T55" s="16">
        <v>15929.36</v>
      </c>
      <c r="U55" s="16">
        <v>16176.15</v>
      </c>
      <c r="V55" s="16">
        <v>17027.57</v>
      </c>
      <c r="W55" s="16">
        <v>64490</v>
      </c>
    </row>
    <row r="56" spans="1:23">
      <c r="A56" s="18" t="s">
        <v>47</v>
      </c>
      <c r="B56" s="18"/>
      <c r="C56" s="18"/>
      <c r="D56" s="16">
        <v>13385.21</v>
      </c>
      <c r="E56" s="16">
        <v>13884.2</v>
      </c>
      <c r="F56" s="16">
        <v>14099.27</v>
      </c>
      <c r="G56" s="16">
        <v>14841.32</v>
      </c>
      <c r="H56" s="16">
        <v>56210</v>
      </c>
      <c r="I56" s="16">
        <v>13902.72</v>
      </c>
      <c r="J56" s="16">
        <v>14421.02</v>
      </c>
      <c r="K56" s="16">
        <v>14656.09</v>
      </c>
      <c r="L56" s="16">
        <v>15415.17</v>
      </c>
      <c r="M56" s="16">
        <v>58395</v>
      </c>
      <c r="N56" s="16">
        <v>14586.7</v>
      </c>
      <c r="O56" s="16">
        <v>15130.42</v>
      </c>
      <c r="P56" s="16">
        <v>15389.35</v>
      </c>
      <c r="Q56" s="16">
        <v>16173.54</v>
      </c>
      <c r="R56" s="16">
        <v>61280.01</v>
      </c>
      <c r="S56" s="16">
        <v>15356.92</v>
      </c>
      <c r="T56" s="16">
        <v>15929.36</v>
      </c>
      <c r="U56" s="16">
        <v>16176.15</v>
      </c>
      <c r="V56" s="16">
        <v>17027.57</v>
      </c>
      <c r="W56" s="16">
        <v>64490</v>
      </c>
    </row>
  </sheetData>
  <mergeCells count="54">
    <mergeCell ref="B14:C14"/>
    <mergeCell ref="A1:W1"/>
    <mergeCell ref="A2:B2"/>
    <mergeCell ref="A4:A5"/>
    <mergeCell ref="B4:C5"/>
    <mergeCell ref="D4:H4"/>
    <mergeCell ref="I4:M4"/>
    <mergeCell ref="N4:R4"/>
    <mergeCell ref="S4:W4"/>
    <mergeCell ref="B9:C9"/>
    <mergeCell ref="B10:C10"/>
    <mergeCell ref="B11:C11"/>
    <mergeCell ref="B12:C12"/>
    <mergeCell ref="B13:C13"/>
    <mergeCell ref="A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7:C27"/>
    <mergeCell ref="A30:W30"/>
    <mergeCell ref="A31:B31"/>
    <mergeCell ref="A33:A34"/>
    <mergeCell ref="B33:C34"/>
    <mergeCell ref="D33:H33"/>
    <mergeCell ref="I33:M33"/>
    <mergeCell ref="N33:R33"/>
    <mergeCell ref="S33:W33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A56:C56"/>
    <mergeCell ref="B50:C50"/>
    <mergeCell ref="B51:C51"/>
    <mergeCell ref="B52:C52"/>
    <mergeCell ref="B53:C53"/>
    <mergeCell ref="B54:C54"/>
    <mergeCell ref="A55:C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17 LU</vt:lpstr>
      <vt:lpstr>Contoh 17 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Rafly Priyantama</cp:lastModifiedBy>
  <dcterms:modified xsi:type="dcterms:W3CDTF">2026-07-14T03:38:46Z</dcterms:modified>
</cp:coreProperties>
</file>