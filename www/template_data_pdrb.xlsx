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iya\Kerja Praktik\PDRB_Analitika_Regional\www\"/>
    </mc:Choice>
  </mc:AlternateContent>
  <xr:revisionPtr revIDLastSave="0" documentId="13_ncr:1_{30344A7C-87E7-4743-BE08-1C7CFF85DE0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tunjuk" sheetId="1" r:id="rId1"/>
    <sheet name="Template 1" sheetId="2" r:id="rId2"/>
    <sheet name="Template 2" sheetId="4" r:id="rId3"/>
    <sheet name="Contoh Data 1" sheetId="3" r:id="rId4"/>
    <sheet name="Contoh Data 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4" l="1"/>
  <c r="D26" i="4"/>
  <c r="C36" i="5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C36" i="4"/>
  <c r="D36" i="4" s="1"/>
  <c r="E36" i="4" s="1"/>
  <c r="F36" i="4" s="1"/>
  <c r="G36" i="4" s="1"/>
  <c r="H36" i="4" s="1"/>
  <c r="I36" i="4" s="1"/>
  <c r="J36" i="4" s="1"/>
  <c r="K36" i="4" s="1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L26" i="4"/>
  <c r="C7" i="4"/>
  <c r="D7" i="4" s="1"/>
  <c r="E7" i="4" s="1"/>
  <c r="F7" i="4" s="1"/>
  <c r="G7" i="4" s="1"/>
  <c r="H7" i="4" s="1"/>
  <c r="I7" i="4" s="1"/>
  <c r="J7" i="4" s="1"/>
  <c r="K7" i="4" s="1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D84" i="3"/>
  <c r="E84" i="3" s="1"/>
  <c r="F84" i="3" s="1"/>
  <c r="G84" i="3" s="1"/>
  <c r="H84" i="3" s="1"/>
  <c r="I84" i="3" s="1"/>
  <c r="J84" i="3" s="1"/>
  <c r="K84" i="3" s="1"/>
  <c r="L84" i="3" s="1"/>
  <c r="M84" i="3" s="1"/>
  <c r="N84" i="3" s="1"/>
  <c r="O84" i="3" s="1"/>
  <c r="P84" i="3" s="1"/>
  <c r="Q84" i="3" s="1"/>
  <c r="R84" i="3" s="1"/>
  <c r="S84" i="3" s="1"/>
  <c r="T84" i="3" s="1"/>
  <c r="U84" i="3" s="1"/>
  <c r="V84" i="3" s="1"/>
  <c r="W84" i="3" s="1"/>
  <c r="C84" i="3"/>
  <c r="E7" i="3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D7" i="3"/>
  <c r="C7" i="3"/>
  <c r="U151" i="2"/>
  <c r="U152" i="2" s="1"/>
  <c r="T151" i="2"/>
  <c r="T152" i="2" s="1"/>
  <c r="S151" i="2"/>
  <c r="N151" i="2"/>
  <c r="N152" i="2" s="1"/>
  <c r="E151" i="2"/>
  <c r="E152" i="2" s="1"/>
  <c r="D151" i="2"/>
  <c r="D152" i="2" s="1"/>
  <c r="W150" i="2"/>
  <c r="R150" i="2"/>
  <c r="M150" i="2"/>
  <c r="H150" i="2"/>
  <c r="W149" i="2"/>
  <c r="R149" i="2"/>
  <c r="M149" i="2"/>
  <c r="H149" i="2"/>
  <c r="W148" i="2"/>
  <c r="R148" i="2"/>
  <c r="M148" i="2"/>
  <c r="H148" i="2"/>
  <c r="W147" i="2"/>
  <c r="R147" i="2"/>
  <c r="M147" i="2"/>
  <c r="H147" i="2"/>
  <c r="W146" i="2"/>
  <c r="R146" i="2"/>
  <c r="M146" i="2"/>
  <c r="H146" i="2"/>
  <c r="W145" i="2"/>
  <c r="R145" i="2"/>
  <c r="M145" i="2"/>
  <c r="H145" i="2"/>
  <c r="W144" i="2"/>
  <c r="R144" i="2"/>
  <c r="M144" i="2"/>
  <c r="H144" i="2"/>
  <c r="W143" i="2"/>
  <c r="R143" i="2"/>
  <c r="M143" i="2"/>
  <c r="H143" i="2"/>
  <c r="W142" i="2"/>
  <c r="R142" i="2"/>
  <c r="M142" i="2"/>
  <c r="H142" i="2"/>
  <c r="W141" i="2"/>
  <c r="R141" i="2"/>
  <c r="M141" i="2"/>
  <c r="H141" i="2"/>
  <c r="W140" i="2"/>
  <c r="V140" i="2"/>
  <c r="U140" i="2"/>
  <c r="T140" i="2"/>
  <c r="S140" i="2"/>
  <c r="Q140" i="2"/>
  <c r="P140" i="2"/>
  <c r="O140" i="2"/>
  <c r="R140" i="2" s="1"/>
  <c r="N140" i="2"/>
  <c r="L140" i="2"/>
  <c r="K140" i="2"/>
  <c r="J140" i="2"/>
  <c r="M140" i="2" s="1"/>
  <c r="I140" i="2"/>
  <c r="G140" i="2"/>
  <c r="F140" i="2"/>
  <c r="E140" i="2"/>
  <c r="D140" i="2"/>
  <c r="H140" i="2" s="1"/>
  <c r="W139" i="2"/>
  <c r="R139" i="2"/>
  <c r="M139" i="2"/>
  <c r="H139" i="2"/>
  <c r="W138" i="2"/>
  <c r="R138" i="2"/>
  <c r="M138" i="2"/>
  <c r="H138" i="2"/>
  <c r="W137" i="2"/>
  <c r="R137" i="2"/>
  <c r="M137" i="2"/>
  <c r="H137" i="2"/>
  <c r="W136" i="2"/>
  <c r="V136" i="2"/>
  <c r="U136" i="2"/>
  <c r="T136" i="2"/>
  <c r="S136" i="2"/>
  <c r="Q136" i="2"/>
  <c r="P136" i="2"/>
  <c r="P151" i="2" s="1"/>
  <c r="P152" i="2" s="1"/>
  <c r="O136" i="2"/>
  <c r="R136" i="2" s="1"/>
  <c r="N136" i="2"/>
  <c r="L136" i="2"/>
  <c r="K136" i="2"/>
  <c r="J136" i="2"/>
  <c r="M136" i="2" s="1"/>
  <c r="I136" i="2"/>
  <c r="G136" i="2"/>
  <c r="F136" i="2"/>
  <c r="E136" i="2"/>
  <c r="D136" i="2"/>
  <c r="H136" i="2" s="1"/>
  <c r="W135" i="2"/>
  <c r="R135" i="2"/>
  <c r="M135" i="2"/>
  <c r="H135" i="2"/>
  <c r="W134" i="2"/>
  <c r="R134" i="2"/>
  <c r="M134" i="2"/>
  <c r="H134" i="2"/>
  <c r="W133" i="2"/>
  <c r="R133" i="2"/>
  <c r="M133" i="2"/>
  <c r="H133" i="2"/>
  <c r="W132" i="2"/>
  <c r="R132" i="2"/>
  <c r="M132" i="2"/>
  <c r="H132" i="2"/>
  <c r="W131" i="2"/>
  <c r="R131" i="2"/>
  <c r="M131" i="2"/>
  <c r="H131" i="2"/>
  <c r="W130" i="2"/>
  <c r="R130" i="2"/>
  <c r="M130" i="2"/>
  <c r="H130" i="2"/>
  <c r="V129" i="2"/>
  <c r="W129" i="2" s="1"/>
  <c r="U129" i="2"/>
  <c r="T129" i="2"/>
  <c r="S129" i="2"/>
  <c r="Q129" i="2"/>
  <c r="P129" i="2"/>
  <c r="O129" i="2"/>
  <c r="N129" i="2"/>
  <c r="R129" i="2" s="1"/>
  <c r="L129" i="2"/>
  <c r="K129" i="2"/>
  <c r="M129" i="2" s="1"/>
  <c r="J129" i="2"/>
  <c r="I129" i="2"/>
  <c r="G129" i="2"/>
  <c r="F129" i="2"/>
  <c r="H129" i="2" s="1"/>
  <c r="E129" i="2"/>
  <c r="D129" i="2"/>
  <c r="W128" i="2"/>
  <c r="R128" i="2"/>
  <c r="M128" i="2"/>
  <c r="H128" i="2"/>
  <c r="W127" i="2"/>
  <c r="R127" i="2"/>
  <c r="M127" i="2"/>
  <c r="H127" i="2"/>
  <c r="W126" i="2"/>
  <c r="V126" i="2"/>
  <c r="U126" i="2"/>
  <c r="T126" i="2"/>
  <c r="S126" i="2"/>
  <c r="R126" i="2"/>
  <c r="Q126" i="2"/>
  <c r="P126" i="2"/>
  <c r="O126" i="2"/>
  <c r="N126" i="2"/>
  <c r="L126" i="2"/>
  <c r="K126" i="2"/>
  <c r="J126" i="2"/>
  <c r="I126" i="2"/>
  <c r="M126" i="2" s="1"/>
  <c r="G126" i="2"/>
  <c r="H126" i="2" s="1"/>
  <c r="F126" i="2"/>
  <c r="E126" i="2"/>
  <c r="D126" i="2"/>
  <c r="W125" i="2"/>
  <c r="R125" i="2"/>
  <c r="M125" i="2"/>
  <c r="H125" i="2"/>
  <c r="W124" i="2"/>
  <c r="R124" i="2"/>
  <c r="M124" i="2"/>
  <c r="H124" i="2"/>
  <c r="W123" i="2"/>
  <c r="R123" i="2"/>
  <c r="M123" i="2"/>
  <c r="H123" i="2"/>
  <c r="W122" i="2"/>
  <c r="R122" i="2"/>
  <c r="M122" i="2"/>
  <c r="H122" i="2"/>
  <c r="V121" i="2"/>
  <c r="W121" i="2" s="1"/>
  <c r="U121" i="2"/>
  <c r="T121" i="2"/>
  <c r="S121" i="2"/>
  <c r="Q121" i="2"/>
  <c r="P121" i="2"/>
  <c r="O121" i="2"/>
  <c r="N121" i="2"/>
  <c r="R121" i="2" s="1"/>
  <c r="L121" i="2"/>
  <c r="K121" i="2"/>
  <c r="M121" i="2" s="1"/>
  <c r="J121" i="2"/>
  <c r="I121" i="2"/>
  <c r="G121" i="2"/>
  <c r="F121" i="2"/>
  <c r="H121" i="2" s="1"/>
  <c r="E121" i="2"/>
  <c r="D121" i="2"/>
  <c r="W120" i="2"/>
  <c r="R120" i="2"/>
  <c r="M120" i="2"/>
  <c r="H120" i="2"/>
  <c r="W119" i="2"/>
  <c r="R119" i="2"/>
  <c r="M119" i="2"/>
  <c r="H119" i="2"/>
  <c r="W118" i="2"/>
  <c r="R118" i="2"/>
  <c r="M118" i="2"/>
  <c r="H118" i="2"/>
  <c r="W117" i="2"/>
  <c r="R117" i="2"/>
  <c r="M117" i="2"/>
  <c r="H117" i="2"/>
  <c r="W116" i="2"/>
  <c r="R116" i="2"/>
  <c r="M116" i="2"/>
  <c r="H116" i="2"/>
  <c r="W115" i="2"/>
  <c r="R115" i="2"/>
  <c r="M115" i="2"/>
  <c r="H115" i="2"/>
  <c r="W114" i="2"/>
  <c r="R114" i="2"/>
  <c r="M114" i="2"/>
  <c r="H114" i="2"/>
  <c r="W113" i="2"/>
  <c r="R113" i="2"/>
  <c r="M113" i="2"/>
  <c r="H113" i="2"/>
  <c r="W112" i="2"/>
  <c r="R112" i="2"/>
  <c r="M112" i="2"/>
  <c r="H112" i="2"/>
  <c r="W111" i="2"/>
  <c r="R111" i="2"/>
  <c r="M111" i="2"/>
  <c r="H111" i="2"/>
  <c r="W110" i="2"/>
  <c r="R110" i="2"/>
  <c r="M110" i="2"/>
  <c r="H110" i="2"/>
  <c r="W109" i="2"/>
  <c r="R109" i="2"/>
  <c r="M109" i="2"/>
  <c r="H109" i="2"/>
  <c r="W108" i="2"/>
  <c r="R108" i="2"/>
  <c r="M108" i="2"/>
  <c r="H108" i="2"/>
  <c r="W107" i="2"/>
  <c r="R107" i="2"/>
  <c r="M107" i="2"/>
  <c r="H107" i="2"/>
  <c r="W106" i="2"/>
  <c r="R106" i="2"/>
  <c r="M106" i="2"/>
  <c r="H106" i="2"/>
  <c r="W105" i="2"/>
  <c r="R105" i="2"/>
  <c r="M105" i="2"/>
  <c r="H105" i="2"/>
  <c r="W104" i="2"/>
  <c r="R104" i="2"/>
  <c r="M104" i="2"/>
  <c r="H104" i="2"/>
  <c r="W103" i="2"/>
  <c r="R103" i="2"/>
  <c r="M103" i="2"/>
  <c r="H103" i="2"/>
  <c r="W102" i="2"/>
  <c r="V102" i="2"/>
  <c r="U102" i="2"/>
  <c r="T102" i="2"/>
  <c r="S102" i="2"/>
  <c r="R102" i="2"/>
  <c r="Q102" i="2"/>
  <c r="P102" i="2"/>
  <c r="O102" i="2"/>
  <c r="N102" i="2"/>
  <c r="L102" i="2"/>
  <c r="K102" i="2"/>
  <c r="J102" i="2"/>
  <c r="I102" i="2"/>
  <c r="M102" i="2" s="1"/>
  <c r="G102" i="2"/>
  <c r="H102" i="2" s="1"/>
  <c r="F102" i="2"/>
  <c r="E102" i="2"/>
  <c r="D102" i="2"/>
  <c r="W101" i="2"/>
  <c r="R101" i="2"/>
  <c r="M101" i="2"/>
  <c r="H101" i="2"/>
  <c r="W100" i="2"/>
  <c r="R100" i="2"/>
  <c r="M100" i="2"/>
  <c r="H100" i="2"/>
  <c r="W99" i="2"/>
  <c r="R99" i="2"/>
  <c r="M99" i="2"/>
  <c r="H99" i="2"/>
  <c r="W98" i="2"/>
  <c r="R98" i="2"/>
  <c r="M98" i="2"/>
  <c r="H98" i="2"/>
  <c r="V97" i="2"/>
  <c r="V151" i="2" s="1"/>
  <c r="V152" i="2" s="1"/>
  <c r="U97" i="2"/>
  <c r="T97" i="2"/>
  <c r="S97" i="2"/>
  <c r="Q97" i="2"/>
  <c r="P97" i="2"/>
  <c r="O97" i="2"/>
  <c r="N97" i="2"/>
  <c r="R97" i="2" s="1"/>
  <c r="L97" i="2"/>
  <c r="K97" i="2"/>
  <c r="M97" i="2" s="1"/>
  <c r="J97" i="2"/>
  <c r="I97" i="2"/>
  <c r="G97" i="2"/>
  <c r="F97" i="2"/>
  <c r="F151" i="2" s="1"/>
  <c r="F152" i="2" s="1"/>
  <c r="E97" i="2"/>
  <c r="D97" i="2"/>
  <c r="W96" i="2"/>
  <c r="R96" i="2"/>
  <c r="M96" i="2"/>
  <c r="H96" i="2"/>
  <c r="W95" i="2"/>
  <c r="R95" i="2"/>
  <c r="M95" i="2"/>
  <c r="H95" i="2"/>
  <c r="W94" i="2"/>
  <c r="R94" i="2"/>
  <c r="M94" i="2"/>
  <c r="H94" i="2"/>
  <c r="W93" i="2"/>
  <c r="R93" i="2"/>
  <c r="M93" i="2"/>
  <c r="H93" i="2"/>
  <c r="W92" i="2"/>
  <c r="R92" i="2"/>
  <c r="M92" i="2"/>
  <c r="H92" i="2"/>
  <c r="W91" i="2"/>
  <c r="R91" i="2"/>
  <c r="M91" i="2"/>
  <c r="H91" i="2"/>
  <c r="W90" i="2"/>
  <c r="R90" i="2"/>
  <c r="M90" i="2"/>
  <c r="H90" i="2"/>
  <c r="W89" i="2"/>
  <c r="R89" i="2"/>
  <c r="M89" i="2"/>
  <c r="H89" i="2"/>
  <c r="W88" i="2"/>
  <c r="R88" i="2"/>
  <c r="M88" i="2"/>
  <c r="H88" i="2"/>
  <c r="W87" i="2"/>
  <c r="R87" i="2"/>
  <c r="M87" i="2"/>
  <c r="H87" i="2"/>
  <c r="W86" i="2"/>
  <c r="V86" i="2"/>
  <c r="U86" i="2"/>
  <c r="T86" i="2"/>
  <c r="S86" i="2"/>
  <c r="R86" i="2"/>
  <c r="Q86" i="2"/>
  <c r="Q151" i="2" s="1"/>
  <c r="Q152" i="2" s="1"/>
  <c r="P86" i="2"/>
  <c r="O86" i="2"/>
  <c r="N86" i="2"/>
  <c r="L86" i="2"/>
  <c r="L151" i="2" s="1"/>
  <c r="L152" i="2" s="1"/>
  <c r="K86" i="2"/>
  <c r="K151" i="2" s="1"/>
  <c r="K152" i="2" s="1"/>
  <c r="J86" i="2"/>
  <c r="J151" i="2" s="1"/>
  <c r="J152" i="2" s="1"/>
  <c r="I86" i="2"/>
  <c r="I151" i="2" s="1"/>
  <c r="G86" i="2"/>
  <c r="H86" i="2" s="1"/>
  <c r="F86" i="2"/>
  <c r="E86" i="2"/>
  <c r="D86" i="2"/>
  <c r="C84" i="2"/>
  <c r="D84" i="2" s="1"/>
  <c r="E84" i="2" s="1"/>
  <c r="F84" i="2" s="1"/>
  <c r="G84" i="2" s="1"/>
  <c r="H84" i="2" s="1"/>
  <c r="I84" i="2" s="1"/>
  <c r="J84" i="2" s="1"/>
  <c r="K84" i="2" s="1"/>
  <c r="L84" i="2" s="1"/>
  <c r="M84" i="2" s="1"/>
  <c r="N84" i="2" s="1"/>
  <c r="O84" i="2" s="1"/>
  <c r="P84" i="2" s="1"/>
  <c r="Q84" i="2" s="1"/>
  <c r="R84" i="2" s="1"/>
  <c r="S84" i="2" s="1"/>
  <c r="T84" i="2" s="1"/>
  <c r="U84" i="2" s="1"/>
  <c r="V84" i="2" s="1"/>
  <c r="W84" i="2" s="1"/>
  <c r="V74" i="2"/>
  <c r="V75" i="2" s="1"/>
  <c r="U74" i="2"/>
  <c r="U75" i="2" s="1"/>
  <c r="T74" i="2"/>
  <c r="T75" i="2" s="1"/>
  <c r="O74" i="2"/>
  <c r="O75" i="2" s="1"/>
  <c r="F74" i="2"/>
  <c r="F75" i="2" s="1"/>
  <c r="E74" i="2"/>
  <c r="E75" i="2" s="1"/>
  <c r="D74" i="2"/>
  <c r="D75" i="2" s="1"/>
  <c r="W73" i="2"/>
  <c r="R73" i="2"/>
  <c r="M73" i="2"/>
  <c r="H73" i="2"/>
  <c r="W72" i="2"/>
  <c r="R72" i="2"/>
  <c r="M72" i="2"/>
  <c r="H72" i="2"/>
  <c r="W71" i="2"/>
  <c r="R71" i="2"/>
  <c r="M71" i="2"/>
  <c r="H71" i="2"/>
  <c r="W70" i="2"/>
  <c r="R70" i="2"/>
  <c r="M70" i="2"/>
  <c r="H70" i="2"/>
  <c r="W69" i="2"/>
  <c r="R69" i="2"/>
  <c r="M69" i="2"/>
  <c r="H69" i="2"/>
  <c r="W68" i="2"/>
  <c r="R68" i="2"/>
  <c r="M68" i="2"/>
  <c r="H68" i="2"/>
  <c r="W67" i="2"/>
  <c r="R67" i="2"/>
  <c r="M67" i="2"/>
  <c r="H67" i="2"/>
  <c r="W66" i="2"/>
  <c r="R66" i="2"/>
  <c r="M66" i="2"/>
  <c r="H66" i="2"/>
  <c r="W65" i="2"/>
  <c r="R65" i="2"/>
  <c r="M65" i="2"/>
  <c r="H65" i="2"/>
  <c r="W64" i="2"/>
  <c r="R64" i="2"/>
  <c r="M64" i="2"/>
  <c r="H64" i="2"/>
  <c r="V63" i="2"/>
  <c r="U63" i="2"/>
  <c r="T63" i="2"/>
  <c r="S63" i="2"/>
  <c r="W63" i="2" s="1"/>
  <c r="Q63" i="2"/>
  <c r="P63" i="2"/>
  <c r="R63" i="2" s="1"/>
  <c r="O63" i="2"/>
  <c r="N63" i="2"/>
  <c r="L63" i="2"/>
  <c r="K63" i="2"/>
  <c r="M63" i="2" s="1"/>
  <c r="J63" i="2"/>
  <c r="I63" i="2"/>
  <c r="H63" i="2"/>
  <c r="G63" i="2"/>
  <c r="F63" i="2"/>
  <c r="E63" i="2"/>
  <c r="D63" i="2"/>
  <c r="W62" i="2"/>
  <c r="R62" i="2"/>
  <c r="M62" i="2"/>
  <c r="H62" i="2"/>
  <c r="W61" i="2"/>
  <c r="R61" i="2"/>
  <c r="M61" i="2"/>
  <c r="H61" i="2"/>
  <c r="W60" i="2"/>
  <c r="R60" i="2"/>
  <c r="M60" i="2"/>
  <c r="H60" i="2"/>
  <c r="V59" i="2"/>
  <c r="U59" i="2"/>
  <c r="T59" i="2"/>
  <c r="S59" i="2"/>
  <c r="W59" i="2" s="1"/>
  <c r="Q59" i="2"/>
  <c r="Q74" i="2" s="1"/>
  <c r="Q75" i="2" s="1"/>
  <c r="P59" i="2"/>
  <c r="R59" i="2" s="1"/>
  <c r="O59" i="2"/>
  <c r="N59" i="2"/>
  <c r="L59" i="2"/>
  <c r="K59" i="2"/>
  <c r="M59" i="2" s="1"/>
  <c r="J59" i="2"/>
  <c r="I59" i="2"/>
  <c r="H59" i="2"/>
  <c r="G59" i="2"/>
  <c r="F59" i="2"/>
  <c r="E59" i="2"/>
  <c r="D59" i="2"/>
  <c r="W58" i="2"/>
  <c r="R58" i="2"/>
  <c r="M58" i="2"/>
  <c r="H58" i="2"/>
  <c r="W57" i="2"/>
  <c r="R57" i="2"/>
  <c r="M57" i="2"/>
  <c r="H57" i="2"/>
  <c r="W56" i="2"/>
  <c r="R56" i="2"/>
  <c r="M56" i="2"/>
  <c r="H56" i="2"/>
  <c r="W55" i="2"/>
  <c r="R55" i="2"/>
  <c r="M55" i="2"/>
  <c r="H55" i="2"/>
  <c r="W54" i="2"/>
  <c r="R54" i="2"/>
  <c r="M54" i="2"/>
  <c r="H54" i="2"/>
  <c r="W53" i="2"/>
  <c r="R53" i="2"/>
  <c r="M53" i="2"/>
  <c r="H53" i="2"/>
  <c r="W52" i="2"/>
  <c r="V52" i="2"/>
  <c r="U52" i="2"/>
  <c r="T52" i="2"/>
  <c r="S52" i="2"/>
  <c r="Q52" i="2"/>
  <c r="P52" i="2"/>
  <c r="O52" i="2"/>
  <c r="N52" i="2"/>
  <c r="R52" i="2" s="1"/>
  <c r="L52" i="2"/>
  <c r="M52" i="2" s="1"/>
  <c r="K52" i="2"/>
  <c r="J52" i="2"/>
  <c r="I52" i="2"/>
  <c r="G52" i="2"/>
  <c r="H52" i="2" s="1"/>
  <c r="F52" i="2"/>
  <c r="E52" i="2"/>
  <c r="D52" i="2"/>
  <c r="W51" i="2"/>
  <c r="R51" i="2"/>
  <c r="M51" i="2"/>
  <c r="H51" i="2"/>
  <c r="W50" i="2"/>
  <c r="R50" i="2"/>
  <c r="M50" i="2"/>
  <c r="H50" i="2"/>
  <c r="V49" i="2"/>
  <c r="U49" i="2"/>
  <c r="T49" i="2"/>
  <c r="S49" i="2"/>
  <c r="W49" i="2" s="1"/>
  <c r="Q49" i="2"/>
  <c r="P49" i="2"/>
  <c r="O49" i="2"/>
  <c r="N49" i="2"/>
  <c r="R49" i="2" s="1"/>
  <c r="L49" i="2"/>
  <c r="K49" i="2"/>
  <c r="J49" i="2"/>
  <c r="I49" i="2"/>
  <c r="M49" i="2" s="1"/>
  <c r="H49" i="2"/>
  <c r="G49" i="2"/>
  <c r="F49" i="2"/>
  <c r="E49" i="2"/>
  <c r="D49" i="2"/>
  <c r="W48" i="2"/>
  <c r="R48" i="2"/>
  <c r="M48" i="2"/>
  <c r="H48" i="2"/>
  <c r="W47" i="2"/>
  <c r="R47" i="2"/>
  <c r="M47" i="2"/>
  <c r="H47" i="2"/>
  <c r="W46" i="2"/>
  <c r="R46" i="2"/>
  <c r="M46" i="2"/>
  <c r="H46" i="2"/>
  <c r="W45" i="2"/>
  <c r="R45" i="2"/>
  <c r="M45" i="2"/>
  <c r="H45" i="2"/>
  <c r="W44" i="2"/>
  <c r="V44" i="2"/>
  <c r="U44" i="2"/>
  <c r="T44" i="2"/>
  <c r="S44" i="2"/>
  <c r="Q44" i="2"/>
  <c r="P44" i="2"/>
  <c r="O44" i="2"/>
  <c r="N44" i="2"/>
  <c r="R44" i="2" s="1"/>
  <c r="L44" i="2"/>
  <c r="M44" i="2" s="1"/>
  <c r="K44" i="2"/>
  <c r="J44" i="2"/>
  <c r="I44" i="2"/>
  <c r="G44" i="2"/>
  <c r="H44" i="2" s="1"/>
  <c r="F44" i="2"/>
  <c r="E44" i="2"/>
  <c r="D44" i="2"/>
  <c r="W43" i="2"/>
  <c r="R43" i="2"/>
  <c r="M43" i="2"/>
  <c r="H43" i="2"/>
  <c r="W42" i="2"/>
  <c r="R42" i="2"/>
  <c r="M42" i="2"/>
  <c r="H42" i="2"/>
  <c r="W41" i="2"/>
  <c r="R41" i="2"/>
  <c r="M41" i="2"/>
  <c r="H41" i="2"/>
  <c r="W40" i="2"/>
  <c r="R40" i="2"/>
  <c r="M40" i="2"/>
  <c r="H40" i="2"/>
  <c r="W39" i="2"/>
  <c r="R39" i="2"/>
  <c r="M39" i="2"/>
  <c r="H39" i="2"/>
  <c r="W38" i="2"/>
  <c r="R38" i="2"/>
  <c r="M38" i="2"/>
  <c r="H38" i="2"/>
  <c r="W37" i="2"/>
  <c r="R37" i="2"/>
  <c r="M37" i="2"/>
  <c r="H37" i="2"/>
  <c r="W36" i="2"/>
  <c r="R36" i="2"/>
  <c r="M36" i="2"/>
  <c r="H36" i="2"/>
  <c r="W35" i="2"/>
  <c r="R35" i="2"/>
  <c r="M35" i="2"/>
  <c r="H35" i="2"/>
  <c r="W34" i="2"/>
  <c r="R34" i="2"/>
  <c r="M34" i="2"/>
  <c r="H34" i="2"/>
  <c r="W33" i="2"/>
  <c r="R33" i="2"/>
  <c r="M33" i="2"/>
  <c r="H33" i="2"/>
  <c r="W32" i="2"/>
  <c r="R32" i="2"/>
  <c r="M32" i="2"/>
  <c r="H32" i="2"/>
  <c r="W31" i="2"/>
  <c r="R31" i="2"/>
  <c r="M31" i="2"/>
  <c r="H31" i="2"/>
  <c r="W30" i="2"/>
  <c r="R30" i="2"/>
  <c r="M30" i="2"/>
  <c r="H30" i="2"/>
  <c r="W29" i="2"/>
  <c r="R29" i="2"/>
  <c r="M29" i="2"/>
  <c r="H29" i="2"/>
  <c r="W28" i="2"/>
  <c r="R28" i="2"/>
  <c r="M28" i="2"/>
  <c r="H28" i="2"/>
  <c r="W27" i="2"/>
  <c r="R27" i="2"/>
  <c r="M27" i="2"/>
  <c r="H27" i="2"/>
  <c r="W26" i="2"/>
  <c r="R26" i="2"/>
  <c r="M26" i="2"/>
  <c r="H26" i="2"/>
  <c r="V25" i="2"/>
  <c r="U25" i="2"/>
  <c r="T25" i="2"/>
  <c r="S25" i="2"/>
  <c r="W25" i="2" s="1"/>
  <c r="Q25" i="2"/>
  <c r="P25" i="2"/>
  <c r="O25" i="2"/>
  <c r="N25" i="2"/>
  <c r="R25" i="2" s="1"/>
  <c r="L25" i="2"/>
  <c r="K25" i="2"/>
  <c r="J25" i="2"/>
  <c r="I25" i="2"/>
  <c r="M25" i="2" s="1"/>
  <c r="H25" i="2"/>
  <c r="G25" i="2"/>
  <c r="F25" i="2"/>
  <c r="E25" i="2"/>
  <c r="D25" i="2"/>
  <c r="W24" i="2"/>
  <c r="R24" i="2"/>
  <c r="M24" i="2"/>
  <c r="H24" i="2"/>
  <c r="W23" i="2"/>
  <c r="R23" i="2"/>
  <c r="M23" i="2"/>
  <c r="H23" i="2"/>
  <c r="W22" i="2"/>
  <c r="R22" i="2"/>
  <c r="M22" i="2"/>
  <c r="H22" i="2"/>
  <c r="W21" i="2"/>
  <c r="R21" i="2"/>
  <c r="M21" i="2"/>
  <c r="H21" i="2"/>
  <c r="W20" i="2"/>
  <c r="V20" i="2"/>
  <c r="U20" i="2"/>
  <c r="T20" i="2"/>
  <c r="S20" i="2"/>
  <c r="Q20" i="2"/>
  <c r="P20" i="2"/>
  <c r="O20" i="2"/>
  <c r="N20" i="2"/>
  <c r="R20" i="2" s="1"/>
  <c r="L20" i="2"/>
  <c r="L74" i="2" s="1"/>
  <c r="L75" i="2" s="1"/>
  <c r="K20" i="2"/>
  <c r="J20" i="2"/>
  <c r="I20" i="2"/>
  <c r="G20" i="2"/>
  <c r="G74" i="2" s="1"/>
  <c r="G75" i="2" s="1"/>
  <c r="F20" i="2"/>
  <c r="E20" i="2"/>
  <c r="D20" i="2"/>
  <c r="W19" i="2"/>
  <c r="R19" i="2"/>
  <c r="M19" i="2"/>
  <c r="H19" i="2"/>
  <c r="W18" i="2"/>
  <c r="R18" i="2"/>
  <c r="M18" i="2"/>
  <c r="H18" i="2"/>
  <c r="W17" i="2"/>
  <c r="R17" i="2"/>
  <c r="M17" i="2"/>
  <c r="H17" i="2"/>
  <c r="W16" i="2"/>
  <c r="R16" i="2"/>
  <c r="M16" i="2"/>
  <c r="H16" i="2"/>
  <c r="W15" i="2"/>
  <c r="R15" i="2"/>
  <c r="M15" i="2"/>
  <c r="H15" i="2"/>
  <c r="W14" i="2"/>
  <c r="R14" i="2"/>
  <c r="M14" i="2"/>
  <c r="H14" i="2"/>
  <c r="W13" i="2"/>
  <c r="R13" i="2"/>
  <c r="M13" i="2"/>
  <c r="H13" i="2"/>
  <c r="W12" i="2"/>
  <c r="R12" i="2"/>
  <c r="M12" i="2"/>
  <c r="H12" i="2"/>
  <c r="W11" i="2"/>
  <c r="R11" i="2"/>
  <c r="M11" i="2"/>
  <c r="H11" i="2"/>
  <c r="W10" i="2"/>
  <c r="R10" i="2"/>
  <c r="M10" i="2"/>
  <c r="H10" i="2"/>
  <c r="V9" i="2"/>
  <c r="U9" i="2"/>
  <c r="T9" i="2"/>
  <c r="S9" i="2"/>
  <c r="S74" i="2" s="1"/>
  <c r="Q9" i="2"/>
  <c r="P9" i="2"/>
  <c r="O9" i="2"/>
  <c r="N9" i="2"/>
  <c r="N74" i="2" s="1"/>
  <c r="L9" i="2"/>
  <c r="K9" i="2"/>
  <c r="K74" i="2" s="1"/>
  <c r="K75" i="2" s="1"/>
  <c r="J9" i="2"/>
  <c r="J74" i="2" s="1"/>
  <c r="J75" i="2" s="1"/>
  <c r="I9" i="2"/>
  <c r="I74" i="2" s="1"/>
  <c r="H9" i="2"/>
  <c r="G9" i="2"/>
  <c r="F9" i="2"/>
  <c r="E9" i="2"/>
  <c r="D9" i="2"/>
  <c r="D7" i="2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C7" i="2"/>
  <c r="L55" i="4" l="1"/>
  <c r="Q55" i="4"/>
  <c r="K55" i="4"/>
  <c r="S55" i="4"/>
  <c r="V55" i="4"/>
  <c r="G55" i="4"/>
  <c r="F26" i="4"/>
  <c r="I55" i="4"/>
  <c r="S26" i="4"/>
  <c r="J26" i="4"/>
  <c r="N55" i="4"/>
  <c r="G26" i="4"/>
  <c r="T26" i="4"/>
  <c r="U26" i="4"/>
  <c r="V26" i="4"/>
  <c r="J55" i="4"/>
  <c r="E26" i="4"/>
  <c r="T55" i="4"/>
  <c r="N26" i="4"/>
  <c r="U55" i="4"/>
  <c r="I26" i="4"/>
  <c r="O26" i="4"/>
  <c r="P26" i="4"/>
  <c r="O55" i="4"/>
  <c r="P55" i="4"/>
  <c r="Q26" i="4"/>
  <c r="E55" i="4"/>
  <c r="K26" i="4"/>
  <c r="F55" i="4"/>
  <c r="W74" i="2"/>
  <c r="S75" i="2"/>
  <c r="W75" i="2" s="1"/>
  <c r="W151" i="2"/>
  <c r="I152" i="2"/>
  <c r="M152" i="2" s="1"/>
  <c r="M151" i="2"/>
  <c r="I75" i="2"/>
  <c r="M75" i="2" s="1"/>
  <c r="M74" i="2"/>
  <c r="N75" i="2"/>
  <c r="H75" i="2"/>
  <c r="H20" i="2"/>
  <c r="W97" i="2"/>
  <c r="H97" i="2"/>
  <c r="P74" i="2"/>
  <c r="P75" i="2" s="1"/>
  <c r="O151" i="2"/>
  <c r="O152" i="2" s="1"/>
  <c r="R152" i="2" s="1"/>
  <c r="W9" i="2"/>
  <c r="R151" i="2"/>
  <c r="H74" i="2"/>
  <c r="G151" i="2"/>
  <c r="G152" i="2" s="1"/>
  <c r="H152" i="2" s="1"/>
  <c r="M9" i="2"/>
  <c r="H151" i="2"/>
  <c r="M20" i="2"/>
  <c r="S152" i="2"/>
  <c r="W152" i="2" s="1"/>
  <c r="M86" i="2"/>
  <c r="R9" i="2"/>
  <c r="W26" i="4" l="1"/>
  <c r="M26" i="4"/>
  <c r="R26" i="4"/>
  <c r="H55" i="4"/>
  <c r="R55" i="4"/>
  <c r="H26" i="4"/>
  <c r="M55" i="4"/>
  <c r="W55" i="4"/>
  <c r="R74" i="2"/>
  <c r="R75" i="2"/>
</calcChain>
</file>

<file path=xl/sharedStrings.xml><?xml version="1.0" encoding="utf-8"?>
<sst xmlns="http://schemas.openxmlformats.org/spreadsheetml/2006/main" count="881" uniqueCount="130">
  <si>
    <t>TABEL 1. PDRB ATAS DASAR HARGA BERLAKU</t>
  </si>
  <si>
    <t>Wilayah :</t>
  </si>
  <si>
    <t>Kategori</t>
  </si>
  <si>
    <t>Uraian</t>
  </si>
  <si>
    <t>2020</t>
  </si>
  <si>
    <t>2021</t>
  </si>
  <si>
    <t>2022</t>
  </si>
  <si>
    <t>2023</t>
  </si>
  <si>
    <t>I</t>
  </si>
  <si>
    <t>II</t>
  </si>
  <si>
    <t>III</t>
  </si>
  <si>
    <t>IV</t>
  </si>
  <si>
    <t>A</t>
  </si>
  <si>
    <t>Pertanian, Kehutanan, dan Perikanan</t>
  </si>
  <si>
    <t>1</t>
  </si>
  <si>
    <t>Pertanian, Peternakan, Perburuan dan Jasa Pertanian</t>
  </si>
  <si>
    <t>a. Tanaman Pangan</t>
  </si>
  <si>
    <t>b. Tanaman Hortikultura Semusim</t>
  </si>
  <si>
    <t>c. Perkebunan Semusim</t>
  </si>
  <si>
    <t>d. Tanaman Hortikultura Tahunan dan Lainnya</t>
  </si>
  <si>
    <t>e. Perkebunan Tahunan</t>
  </si>
  <si>
    <t>f. Peternakan</t>
  </si>
  <si>
    <t>g. Jasa Pertanian dan Perburuan</t>
  </si>
  <si>
    <t>2</t>
  </si>
  <si>
    <t>Kehutanan dan Penebangan Kayu</t>
  </si>
  <si>
    <t>3</t>
  </si>
  <si>
    <t>Perikanan</t>
  </si>
  <si>
    <t>B</t>
  </si>
  <si>
    <t>Pertambangan dan Penggalian</t>
  </si>
  <si>
    <t>Pertambangan Minyak, Gas dan Panas Bumi</t>
  </si>
  <si>
    <t>Pertambangan Batubara dan Lignit</t>
  </si>
  <si>
    <t>Pertambangan Bijih Logam</t>
  </si>
  <si>
    <t>4</t>
  </si>
  <si>
    <t>Pertambangan dan Penggalian Lainnya</t>
  </si>
  <si>
    <t>C</t>
  </si>
  <si>
    <t>Industri Pengolahan</t>
  </si>
  <si>
    <t>Industri Batubara dan Pengilangan Migas</t>
  </si>
  <si>
    <t>a. Industri Batu Bara</t>
  </si>
  <si>
    <t>b. Industri Pengilangan Migas</t>
  </si>
  <si>
    <t>Industri Makanan dan Minuman</t>
  </si>
  <si>
    <t>Pengolahan Tembakau</t>
  </si>
  <si>
    <t>Industri Tekstil dan Pakaian Jadi</t>
  </si>
  <si>
    <t>5</t>
  </si>
  <si>
    <t>Industri Kulit, Barang dari Kulit dan Alas Kaki</t>
  </si>
  <si>
    <t>6</t>
  </si>
  <si>
    <t>Industri Kayu, Barang dari Kayu dan Gabus dan Barang Anyaman dari Bambu, Rotan dan Sejenisnya</t>
  </si>
  <si>
    <t>7</t>
  </si>
  <si>
    <t>Industri Kertas dan Barang dari Kertas, Percetakan dan Reproduksi Media Rekaman</t>
  </si>
  <si>
    <t>8</t>
  </si>
  <si>
    <t>Industri Kimia, Farmasi dan Obat Tradisional</t>
  </si>
  <si>
    <t>9</t>
  </si>
  <si>
    <t>Industri Karet, Barang dari Karet dan Plastik</t>
  </si>
  <si>
    <t>10</t>
  </si>
  <si>
    <t>Industri Barang Galian bukan Logam</t>
  </si>
  <si>
    <t>11</t>
  </si>
  <si>
    <t>Industri Logam Dasar</t>
  </si>
  <si>
    <t>12</t>
  </si>
  <si>
    <t>Industri Barang dari Logam, Komputer, Barang Elektronik, Optik dan Peralatan Listrik</t>
  </si>
  <si>
    <t>13</t>
  </si>
  <si>
    <t>Industri Mesin dan Perlengkapan YTDL</t>
  </si>
  <si>
    <t>14</t>
  </si>
  <si>
    <t>Industri Alat Angkutan</t>
  </si>
  <si>
    <t>15</t>
  </si>
  <si>
    <t>Industri Furnitur</t>
  </si>
  <si>
    <t>16</t>
  </si>
  <si>
    <t>Industri pengolahan lainnya, jasa reparasi dan pemasangan mesin dan peralatan</t>
  </si>
  <si>
    <t>D</t>
  </si>
  <si>
    <t>Pengadaan Listrik dan Gas</t>
  </si>
  <si>
    <t>Ketenagalistrikan</t>
  </si>
  <si>
    <t>Pengadaan Gas dan Produksi Es</t>
  </si>
  <si>
    <t>E</t>
  </si>
  <si>
    <t>Pengadaan Air, Pengelolaan Sampah, Limbah dan Daur Ulang</t>
  </si>
  <si>
    <t>F</t>
  </si>
  <si>
    <t>Konstruksi</t>
  </si>
  <si>
    <t>G</t>
  </si>
  <si>
    <t>Perdagangan Besar dan Eceran; Reparasi Mobil dan Sepeda Motor</t>
  </si>
  <si>
    <t>Perdagangan Mobil, Sepeda Motor dan Reparasinya</t>
  </si>
  <si>
    <t>Perdagangan Besar dan Eceran, Bukan Mobil dan Sepeda Motor</t>
  </si>
  <si>
    <t>H</t>
  </si>
  <si>
    <t>Transportasi dan Pergudangan</t>
  </si>
  <si>
    <t>Angkutan Rel</t>
  </si>
  <si>
    <t>Angkutan Darat</t>
  </si>
  <si>
    <t>Angkutan Laut</t>
  </si>
  <si>
    <t>Angkutan Sungai Danau dan Penyeberangan</t>
  </si>
  <si>
    <t>Angkutan Udara</t>
  </si>
  <si>
    <t>Pergudangan dan Jasa Penunjang Angkutan, Pos dan Kurir</t>
  </si>
  <si>
    <t>Penyediaan Akomodasi dan Makan Minum</t>
  </si>
  <si>
    <t>Penyediaan Akomodasi</t>
  </si>
  <si>
    <t>Penyediaan Makan Minum</t>
  </si>
  <si>
    <t>J</t>
  </si>
  <si>
    <t>Informasi dan Komunikasi</t>
  </si>
  <si>
    <t>K</t>
  </si>
  <si>
    <t>Jasa Keuangan dan Asuransi</t>
  </si>
  <si>
    <t>Jasa Perantara Keuangan</t>
  </si>
  <si>
    <t>Asuransi dan Dana Pensiun</t>
  </si>
  <si>
    <t>Jasa Keuangan Lainnya</t>
  </si>
  <si>
    <t>Jasa Penunjang Keuangan</t>
  </si>
  <si>
    <t>L</t>
  </si>
  <si>
    <t>Real Estate</t>
  </si>
  <si>
    <t>M,N</t>
  </si>
  <si>
    <t>Jasa Perusahaan</t>
  </si>
  <si>
    <t>O</t>
  </si>
  <si>
    <t>Administrasi Pemerintahan, Pertahanan dan Jaminan Sosial Wajib</t>
  </si>
  <si>
    <t>P</t>
  </si>
  <si>
    <t>Jasa Pendidikan</t>
  </si>
  <si>
    <t>Q</t>
  </si>
  <si>
    <t>Jasa Kesehatan dan Kegiatan Sosial</t>
  </si>
  <si>
    <t>R,S,T,U</t>
  </si>
  <si>
    <t>Jasa lainnya</t>
  </si>
  <si>
    <t>PRODUK DOMESTIK REGIONAL BRUTO</t>
  </si>
  <si>
    <t>PRODUK DOMESTIK REGIONAL BRUTO TANPA MIGAS</t>
  </si>
  <si>
    <t>TABEL 2. PDRB ATAS DASAR HARGA KONSTAN</t>
  </si>
  <si>
    <t>TEMPLATE DATA PDRB UNTUK DASHBOARD</t>
  </si>
  <si>
    <t>Tujuan</t>
  </si>
  <si>
    <t>File ini digunakan sebagai format input Excel PDRB untuk dashboard. Template berisi dua tabel utama: PDRB ADHB dan PDRB ADHK.</t>
  </si>
  <si>
    <t>Sheet Template</t>
  </si>
  <si>
    <t>Digunakan untuk mengisi data resmi. Nilai rincian dapat diisi pada baris sektor/subsektor, sedangkan beberapa baris agregat dan kolom Tahunan sudah memakai rumus SUM.</t>
  </si>
  <si>
    <t>Sheet Contoh Data</t>
  </si>
  <si>
    <t>Berisi contoh pengisian dengan nilai dummy. Angka pada sheet ini hanya contoh, bukan data resmi.</t>
  </si>
  <si>
    <t>Wilayah</t>
  </si>
  <si>
    <t>Satuan</t>
  </si>
  <si>
    <t>Periode</t>
  </si>
  <si>
    <t>Rumus</t>
  </si>
  <si>
    <t>Jangan menghapus rumus SUM pada baris agregat kategori dan kolom Tahunan. Jika menambah/mengubah rincian, pastikan rumus agregat ikut disesuaikan.</t>
  </si>
  <si>
    <t>Catatan</t>
  </si>
  <si>
    <t>Jangan mengubah struktur header tahun/periode, kode kategori, dan susunan baris lapangan usaha agar tetap terbaca oleh dashboard.</t>
  </si>
  <si>
    <t>Isi nama wilayah langsung pada baris "Wilayah :" di TABEL 1 ADHB dan TABEL 2 ADHK.</t>
  </si>
  <si>
    <t>Isi nilai PDRB dalam Juta Rupiah. Gunakan angka tanpa simbol Rp.</t>
  </si>
  <si>
    <t>Tahun</t>
  </si>
  <si>
    <t>Kolom Tahun merupakan penjumlahan Triwulan I, II, III, dan IV pada tahun yang sama.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</si>
</sst>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7324D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i/>
      <sz val="11"/>
      <color rgb="FF68737D"/>
      <name val="Carlito"/>
    </font>
    <font>
      <b/>
      <sz val="11"/>
      <color rgb="FF134E4A"/>
      <name val="Carlito"/>
    </font>
    <font>
      <sz val="11"/>
      <color rgb="FF111827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EF4F8"/>
      </patternFill>
    </fill>
    <fill>
      <patternFill patternType="solid">
        <fgColor rgb="FF2C5F8A"/>
      </patternFill>
    </fill>
    <fill>
      <patternFill patternType="solid">
        <fgColor rgb="FFE3E8E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2C5F8A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4" tint="0.79992065187536243"/>
        <bgColor indexed="65"/>
      </patternFill>
    </fill>
    <fill>
      <patternFill patternType="solid">
        <fgColor rgb="FF0F766E"/>
      </patternFill>
    </fill>
    <fill>
      <patternFill patternType="solid">
        <fgColor rgb="FFE6F4F1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0" fillId="7" borderId="0" xfId="0" applyFill="1" applyAlignment="1">
      <alignment wrapText="1"/>
    </xf>
    <xf numFmtId="0" fontId="5" fillId="7" borderId="0" xfId="0" applyFont="1" applyFill="1" applyAlignment="1">
      <alignment horizontal="center" wrapText="1"/>
    </xf>
    <xf numFmtId="0" fontId="0" fillId="6" borderId="2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7" borderId="1" xfId="0" applyFill="1" applyBorder="1" applyAlignment="1">
      <alignment wrapText="1"/>
    </xf>
    <xf numFmtId="0" fontId="5" fillId="5" borderId="0" xfId="0" applyFont="1" applyFill="1" applyAlignment="1">
      <alignment wrapText="1"/>
    </xf>
    <xf numFmtId="0" fontId="2" fillId="0" borderId="1" xfId="0" applyFont="1" applyBorder="1" applyAlignment="1">
      <alignment vertical="center" wrapText="1"/>
    </xf>
    <xf numFmtId="4" fontId="0" fillId="9" borderId="2" xfId="0" applyNumberFormat="1" applyFill="1" applyBorder="1" applyAlignment="1">
      <alignment wrapText="1"/>
    </xf>
    <xf numFmtId="4" fontId="0" fillId="10" borderId="2" xfId="0" applyNumberFormat="1" applyFill="1" applyBorder="1" applyAlignment="1">
      <alignment wrapText="1"/>
    </xf>
    <xf numFmtId="4" fontId="0" fillId="0" borderId="2" xfId="0" applyNumberFormat="1" applyBorder="1" applyAlignment="1">
      <alignment wrapText="1"/>
    </xf>
    <xf numFmtId="4" fontId="0" fillId="0" borderId="5" xfId="0" applyNumberFormat="1" applyBorder="1" applyAlignment="1">
      <alignment wrapText="1"/>
    </xf>
    <xf numFmtId="4" fontId="0" fillId="10" borderId="5" xfId="0" applyNumberFormat="1" applyFill="1" applyBorder="1" applyAlignment="1">
      <alignment wrapText="1"/>
    </xf>
    <xf numFmtId="4" fontId="0" fillId="0" borderId="4" xfId="0" applyNumberFormat="1" applyBorder="1" applyAlignment="1">
      <alignment wrapText="1"/>
    </xf>
    <xf numFmtId="4" fontId="0" fillId="10" borderId="4" xfId="0" applyNumberFormat="1" applyFill="1" applyBorder="1" applyAlignment="1">
      <alignment wrapText="1"/>
    </xf>
    <xf numFmtId="4" fontId="0" fillId="9" borderId="3" xfId="0" applyNumberFormat="1" applyFill="1" applyBorder="1" applyAlignment="1">
      <alignment wrapText="1"/>
    </xf>
    <xf numFmtId="4" fontId="0" fillId="4" borderId="2" xfId="0" applyNumberFormat="1" applyFill="1" applyBorder="1" applyAlignment="1">
      <alignment wrapText="1"/>
    </xf>
    <xf numFmtId="0" fontId="6" fillId="12" borderId="7" xfId="0" applyFont="1" applyFill="1" applyBorder="1" applyAlignment="1">
      <alignment horizontal="left" vertical="center" wrapText="1"/>
    </xf>
    <xf numFmtId="0" fontId="6" fillId="12" borderId="7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1" fillId="11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6" borderId="2" xfId="0" applyFill="1" applyBorder="1" applyAlignment="1">
      <alignment horizontal="left" wrapText="1"/>
    </xf>
    <xf numFmtId="0" fontId="0" fillId="6" borderId="6" xfId="0" applyFill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0" fillId="8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10" sqref="D10"/>
    </sheetView>
  </sheetViews>
  <sheetFormatPr defaultRowHeight="14.25"/>
  <cols>
    <col min="1" max="1" width="22" customWidth="1"/>
    <col min="2" max="2" width="95" customWidth="1"/>
  </cols>
  <sheetData>
    <row r="1" spans="1:4" ht="27.95" customHeight="1">
      <c r="A1" s="25" t="s">
        <v>112</v>
      </c>
      <c r="B1" s="26"/>
    </row>
    <row r="2" spans="1:4">
      <c r="A2" s="1"/>
      <c r="B2" s="1"/>
    </row>
    <row r="3" spans="1:4" ht="36" customHeight="1">
      <c r="A3" s="22" t="s">
        <v>113</v>
      </c>
      <c r="B3" s="24" t="s">
        <v>114</v>
      </c>
    </row>
    <row r="4" spans="1:4" ht="36" customHeight="1">
      <c r="A4" s="22" t="s">
        <v>115</v>
      </c>
      <c r="B4" s="24" t="s">
        <v>116</v>
      </c>
    </row>
    <row r="5" spans="1:4" ht="36" customHeight="1">
      <c r="A5" s="22" t="s">
        <v>117</v>
      </c>
      <c r="B5" s="24" t="s">
        <v>118</v>
      </c>
    </row>
    <row r="6" spans="1:4" ht="36" customHeight="1">
      <c r="A6" s="22" t="s">
        <v>119</v>
      </c>
      <c r="B6" s="24" t="s">
        <v>126</v>
      </c>
      <c r="C6" s="12"/>
      <c r="D6" s="9"/>
    </row>
    <row r="7" spans="1:4" ht="36" customHeight="1">
      <c r="A7" s="22" t="s">
        <v>120</v>
      </c>
      <c r="B7" s="24" t="s">
        <v>127</v>
      </c>
    </row>
    <row r="8" spans="1:4" ht="36" customHeight="1">
      <c r="A8" s="23" t="s">
        <v>121</v>
      </c>
      <c r="B8" s="24" t="s">
        <v>129</v>
      </c>
    </row>
    <row r="9" spans="1:4" ht="36" customHeight="1">
      <c r="A9" s="23" t="s">
        <v>122</v>
      </c>
      <c r="B9" s="24" t="s">
        <v>123</v>
      </c>
    </row>
    <row r="10" spans="1:4" ht="36" customHeight="1">
      <c r="A10" s="23" t="s">
        <v>124</v>
      </c>
      <c r="B10" s="24" t="s">
        <v>125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2"/>
  <sheetViews>
    <sheetView topLeftCell="A66" workbookViewId="0">
      <selection activeCell="C79" sqref="C79"/>
    </sheetView>
  </sheetViews>
  <sheetFormatPr defaultRowHeight="14.25"/>
  <cols>
    <col min="1" max="1" width="10.75" customWidth="1"/>
    <col min="2" max="2" width="3.25" customWidth="1"/>
    <col min="3" max="3" width="84.75" customWidth="1"/>
    <col min="4" max="7" width="9.875" customWidth="1"/>
    <col min="8" max="8" width="10.25" customWidth="1"/>
    <col min="9" max="12" width="9.875" customWidth="1"/>
    <col min="13" max="13" width="10.25" customWidth="1"/>
    <col min="14" max="17" width="9.875" customWidth="1"/>
    <col min="18" max="18" width="10.25" customWidth="1"/>
    <col min="19" max="22" width="9.875" customWidth="1"/>
    <col min="23" max="23" width="10.25" customWidth="1"/>
  </cols>
  <sheetData>
    <row r="1" spans="1:23" ht="15">
      <c r="A1" s="29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">
      <c r="A2" s="30" t="s">
        <v>1</v>
      </c>
      <c r="B2" s="3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>
      <c r="A4" s="31" t="s">
        <v>2</v>
      </c>
      <c r="B4" s="32" t="s">
        <v>3</v>
      </c>
      <c r="C4" s="32"/>
      <c r="D4" s="33" t="s">
        <v>4</v>
      </c>
      <c r="E4" s="33"/>
      <c r="F4" s="33"/>
      <c r="G4" s="33"/>
      <c r="H4" s="33"/>
      <c r="I4" s="33" t="s">
        <v>5</v>
      </c>
      <c r="J4" s="33"/>
      <c r="K4" s="33"/>
      <c r="L4" s="33"/>
      <c r="M4" s="33"/>
      <c r="N4" s="33" t="s">
        <v>6</v>
      </c>
      <c r="O4" s="33"/>
      <c r="P4" s="33"/>
      <c r="Q4" s="33"/>
      <c r="R4" s="33"/>
      <c r="S4" s="33" t="s">
        <v>7</v>
      </c>
      <c r="T4" s="33"/>
      <c r="U4" s="33"/>
      <c r="V4" s="33"/>
      <c r="W4" s="33"/>
    </row>
    <row r="5" spans="1:23" ht="15">
      <c r="A5" s="31"/>
      <c r="B5" s="32"/>
      <c r="C5" s="32"/>
      <c r="D5" s="3" t="s">
        <v>8</v>
      </c>
      <c r="E5" s="3" t="s">
        <v>9</v>
      </c>
      <c r="F5" s="3" t="s">
        <v>10</v>
      </c>
      <c r="G5" s="3" t="s">
        <v>11</v>
      </c>
      <c r="H5" s="3" t="s">
        <v>4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128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128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128</v>
      </c>
    </row>
    <row r="6" spans="1:23">
      <c r="A6" s="1"/>
      <c r="B6" s="1"/>
      <c r="C6" s="1"/>
      <c r="D6" s="1"/>
      <c r="E6" s="1"/>
      <c r="F6" s="1"/>
      <c r="G6" s="1"/>
      <c r="H6" s="6"/>
      <c r="I6" s="1"/>
      <c r="J6" s="1"/>
      <c r="K6" s="1"/>
      <c r="L6" s="1"/>
      <c r="M6" s="6"/>
      <c r="N6" s="1"/>
      <c r="O6" s="1"/>
      <c r="P6" s="1"/>
      <c r="Q6" s="1"/>
      <c r="R6" s="6"/>
      <c r="S6" s="1"/>
      <c r="T6" s="1"/>
      <c r="U6" s="1"/>
      <c r="V6" s="1"/>
      <c r="W6" s="6"/>
    </row>
    <row r="7" spans="1:23">
      <c r="A7" s="4">
        <v>1</v>
      </c>
      <c r="B7" s="11"/>
      <c r="C7" s="4">
        <f>A7+1</f>
        <v>2</v>
      </c>
      <c r="D7" s="4">
        <f>C7+1</f>
        <v>3</v>
      </c>
      <c r="E7" s="4">
        <f t="shared" ref="E7:W7" si="0">D7+1</f>
        <v>4</v>
      </c>
      <c r="F7" s="4">
        <f t="shared" si="0"/>
        <v>5</v>
      </c>
      <c r="G7" s="4">
        <f t="shared" si="0"/>
        <v>6</v>
      </c>
      <c r="H7" s="7">
        <f t="shared" si="0"/>
        <v>7</v>
      </c>
      <c r="I7" s="4">
        <f t="shared" si="0"/>
        <v>8</v>
      </c>
      <c r="J7" s="4">
        <f t="shared" si="0"/>
        <v>9</v>
      </c>
      <c r="K7" s="4">
        <f t="shared" si="0"/>
        <v>10</v>
      </c>
      <c r="L7" s="4">
        <f t="shared" si="0"/>
        <v>11</v>
      </c>
      <c r="M7" s="7">
        <f t="shared" si="0"/>
        <v>12</v>
      </c>
      <c r="N7" s="4">
        <f t="shared" si="0"/>
        <v>13</v>
      </c>
      <c r="O7" s="4">
        <f t="shared" si="0"/>
        <v>14</v>
      </c>
      <c r="P7" s="4">
        <f t="shared" si="0"/>
        <v>15</v>
      </c>
      <c r="Q7" s="4">
        <f t="shared" si="0"/>
        <v>16</v>
      </c>
      <c r="R7" s="7">
        <f t="shared" si="0"/>
        <v>17</v>
      </c>
      <c r="S7" s="4">
        <f t="shared" si="0"/>
        <v>18</v>
      </c>
      <c r="T7" s="4">
        <f t="shared" si="0"/>
        <v>19</v>
      </c>
      <c r="U7" s="4">
        <f t="shared" si="0"/>
        <v>20</v>
      </c>
      <c r="V7" s="4">
        <f t="shared" si="0"/>
        <v>21</v>
      </c>
      <c r="W7" s="7">
        <f t="shared" si="0"/>
        <v>22</v>
      </c>
    </row>
    <row r="8" spans="1:23">
      <c r="A8" s="9"/>
      <c r="B8" s="9"/>
      <c r="C8" s="9"/>
      <c r="D8" s="9"/>
      <c r="E8" s="9"/>
      <c r="F8" s="9"/>
      <c r="G8" s="9"/>
      <c r="H8" s="10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9"/>
      <c r="U8" s="9"/>
      <c r="V8" s="9"/>
      <c r="W8" s="10"/>
    </row>
    <row r="9" spans="1:23">
      <c r="A9" s="8" t="s">
        <v>12</v>
      </c>
      <c r="B9" s="27" t="s">
        <v>13</v>
      </c>
      <c r="C9" s="28"/>
      <c r="D9" s="13">
        <f>SUM(D10,D18,D19)</f>
        <v>0</v>
      </c>
      <c r="E9" s="13">
        <f>SUM(E10,E18,E19)</f>
        <v>0</v>
      </c>
      <c r="F9" s="13">
        <f>SUM(F10,F18,F19)</f>
        <v>0</v>
      </c>
      <c r="G9" s="13">
        <f>SUM(G10,G18,G19)</f>
        <v>0</v>
      </c>
      <c r="H9" s="14">
        <f t="shared" ref="H9:H72" si="1">SUM(D9:G9)</f>
        <v>0</v>
      </c>
      <c r="I9" s="13">
        <f>SUM(I10,I18,I19)</f>
        <v>0</v>
      </c>
      <c r="J9" s="13">
        <f>SUM(J10,J18,J19)</f>
        <v>0</v>
      </c>
      <c r="K9" s="13">
        <f>SUM(K10,K18,K19)</f>
        <v>0</v>
      </c>
      <c r="L9" s="13">
        <f>SUM(L10,L18,L19)</f>
        <v>0</v>
      </c>
      <c r="M9" s="14">
        <f t="shared" ref="M9:M72" si="2">SUM(I9:L9)</f>
        <v>0</v>
      </c>
      <c r="N9" s="13">
        <f>SUM(N10,N18,N19)</f>
        <v>0</v>
      </c>
      <c r="O9" s="13">
        <f>SUM(O10,O18,O19)</f>
        <v>0</v>
      </c>
      <c r="P9" s="13">
        <f>SUM(P10,P18,P19)</f>
        <v>0</v>
      </c>
      <c r="Q9" s="13">
        <f>SUM(Q10,Q18,Q19)</f>
        <v>0</v>
      </c>
      <c r="R9" s="14">
        <f t="shared" ref="R9:R72" si="3">SUM(N9:Q9)</f>
        <v>0</v>
      </c>
      <c r="S9" s="13">
        <f>SUM(S10,S18,S19)</f>
        <v>0</v>
      </c>
      <c r="T9" s="13">
        <f>SUM(T10,T18,T19)</f>
        <v>0</v>
      </c>
      <c r="U9" s="13">
        <f>SUM(U10,U18,U19)</f>
        <v>0</v>
      </c>
      <c r="V9" s="13">
        <f>SUM(V10,V18,V19)</f>
        <v>0</v>
      </c>
      <c r="W9" s="14">
        <f t="shared" ref="W9:W72" si="4">SUM(S9:V9)</f>
        <v>0</v>
      </c>
    </row>
    <row r="10" spans="1:23">
      <c r="A10" s="9"/>
      <c r="B10" s="9" t="s">
        <v>14</v>
      </c>
      <c r="C10" s="9" t="s">
        <v>15</v>
      </c>
      <c r="D10" s="15"/>
      <c r="E10" s="16"/>
      <c r="F10" s="16"/>
      <c r="G10" s="16"/>
      <c r="H10" s="17">
        <f t="shared" si="1"/>
        <v>0</v>
      </c>
      <c r="I10" s="16"/>
      <c r="J10" s="16"/>
      <c r="K10" s="16"/>
      <c r="L10" s="16"/>
      <c r="M10" s="17">
        <f t="shared" si="2"/>
        <v>0</v>
      </c>
      <c r="N10" s="16"/>
      <c r="O10" s="16"/>
      <c r="P10" s="16"/>
      <c r="Q10" s="16"/>
      <c r="R10" s="17">
        <f t="shared" si="3"/>
        <v>0</v>
      </c>
      <c r="S10" s="16"/>
      <c r="T10" s="16"/>
      <c r="U10" s="16"/>
      <c r="V10" s="16"/>
      <c r="W10" s="17">
        <f t="shared" si="4"/>
        <v>0</v>
      </c>
    </row>
    <row r="11" spans="1:23">
      <c r="A11" s="9"/>
      <c r="B11" s="9"/>
      <c r="C11" s="9" t="s">
        <v>16</v>
      </c>
      <c r="D11" s="15"/>
      <c r="E11" s="15"/>
      <c r="F11" s="15"/>
      <c r="G11" s="15"/>
      <c r="H11" s="14">
        <f t="shared" si="1"/>
        <v>0</v>
      </c>
      <c r="I11" s="15"/>
      <c r="J11" s="15"/>
      <c r="K11" s="15"/>
      <c r="L11" s="15"/>
      <c r="M11" s="14">
        <f t="shared" si="2"/>
        <v>0</v>
      </c>
      <c r="N11" s="15"/>
      <c r="O11" s="15"/>
      <c r="P11" s="15"/>
      <c r="Q11" s="15"/>
      <c r="R11" s="14">
        <f t="shared" si="3"/>
        <v>0</v>
      </c>
      <c r="S11" s="15"/>
      <c r="T11" s="15"/>
      <c r="U11" s="15"/>
      <c r="V11" s="15"/>
      <c r="W11" s="14">
        <f t="shared" si="4"/>
        <v>0</v>
      </c>
    </row>
    <row r="12" spans="1:23">
      <c r="A12" s="9"/>
      <c r="B12" s="9"/>
      <c r="C12" s="9" t="s">
        <v>17</v>
      </c>
      <c r="D12" s="15"/>
      <c r="E12" s="15"/>
      <c r="F12" s="15"/>
      <c r="G12" s="15"/>
      <c r="H12" s="14">
        <f t="shared" si="1"/>
        <v>0</v>
      </c>
      <c r="I12" s="15"/>
      <c r="J12" s="15"/>
      <c r="K12" s="15"/>
      <c r="L12" s="15"/>
      <c r="M12" s="14">
        <f t="shared" si="2"/>
        <v>0</v>
      </c>
      <c r="N12" s="15"/>
      <c r="O12" s="15"/>
      <c r="P12" s="15"/>
      <c r="Q12" s="15"/>
      <c r="R12" s="14">
        <f t="shared" si="3"/>
        <v>0</v>
      </c>
      <c r="S12" s="15"/>
      <c r="T12" s="15"/>
      <c r="U12" s="15"/>
      <c r="V12" s="15"/>
      <c r="W12" s="14">
        <f t="shared" si="4"/>
        <v>0</v>
      </c>
    </row>
    <row r="13" spans="1:23">
      <c r="A13" s="9"/>
      <c r="B13" s="9"/>
      <c r="C13" s="9" t="s">
        <v>18</v>
      </c>
      <c r="D13" s="15"/>
      <c r="E13" s="15"/>
      <c r="F13" s="15"/>
      <c r="G13" s="15"/>
      <c r="H13" s="14">
        <f t="shared" si="1"/>
        <v>0</v>
      </c>
      <c r="I13" s="15"/>
      <c r="J13" s="15"/>
      <c r="K13" s="15"/>
      <c r="L13" s="15"/>
      <c r="M13" s="14">
        <f t="shared" si="2"/>
        <v>0</v>
      </c>
      <c r="N13" s="15"/>
      <c r="O13" s="15"/>
      <c r="P13" s="15"/>
      <c r="Q13" s="15"/>
      <c r="R13" s="14">
        <f t="shared" si="3"/>
        <v>0</v>
      </c>
      <c r="S13" s="15"/>
      <c r="T13" s="15"/>
      <c r="U13" s="15"/>
      <c r="V13" s="15"/>
      <c r="W13" s="14">
        <f t="shared" si="4"/>
        <v>0</v>
      </c>
    </row>
    <row r="14" spans="1:23">
      <c r="A14" s="9"/>
      <c r="B14" s="9"/>
      <c r="C14" s="9" t="s">
        <v>19</v>
      </c>
      <c r="D14" s="15"/>
      <c r="E14" s="15"/>
      <c r="F14" s="15"/>
      <c r="G14" s="15"/>
      <c r="H14" s="14">
        <f t="shared" si="1"/>
        <v>0</v>
      </c>
      <c r="I14" s="15"/>
      <c r="J14" s="15"/>
      <c r="K14" s="15"/>
      <c r="L14" s="15"/>
      <c r="M14" s="14">
        <f t="shared" si="2"/>
        <v>0</v>
      </c>
      <c r="N14" s="15"/>
      <c r="O14" s="15"/>
      <c r="P14" s="15"/>
      <c r="Q14" s="15"/>
      <c r="R14" s="14">
        <f t="shared" si="3"/>
        <v>0</v>
      </c>
      <c r="S14" s="15"/>
      <c r="T14" s="15"/>
      <c r="U14" s="15"/>
      <c r="V14" s="15"/>
      <c r="W14" s="14">
        <f t="shared" si="4"/>
        <v>0</v>
      </c>
    </row>
    <row r="15" spans="1:23">
      <c r="A15" s="9"/>
      <c r="B15" s="9"/>
      <c r="C15" s="9" t="s">
        <v>20</v>
      </c>
      <c r="D15" s="15"/>
      <c r="E15" s="15"/>
      <c r="F15" s="15"/>
      <c r="G15" s="15"/>
      <c r="H15" s="14">
        <f t="shared" si="1"/>
        <v>0</v>
      </c>
      <c r="I15" s="15"/>
      <c r="J15" s="15"/>
      <c r="K15" s="15"/>
      <c r="L15" s="15"/>
      <c r="M15" s="14">
        <f t="shared" si="2"/>
        <v>0</v>
      </c>
      <c r="N15" s="15"/>
      <c r="O15" s="15"/>
      <c r="P15" s="15"/>
      <c r="Q15" s="15"/>
      <c r="R15" s="14">
        <f t="shared" si="3"/>
        <v>0</v>
      </c>
      <c r="S15" s="15"/>
      <c r="T15" s="15"/>
      <c r="U15" s="15"/>
      <c r="V15" s="15"/>
      <c r="W15" s="14">
        <f t="shared" si="4"/>
        <v>0</v>
      </c>
    </row>
    <row r="16" spans="1:23">
      <c r="A16" s="9"/>
      <c r="B16" s="9"/>
      <c r="C16" s="9" t="s">
        <v>21</v>
      </c>
      <c r="D16" s="15"/>
      <c r="E16" s="15"/>
      <c r="F16" s="15"/>
      <c r="G16" s="15"/>
      <c r="H16" s="14">
        <f t="shared" si="1"/>
        <v>0</v>
      </c>
      <c r="I16" s="15"/>
      <c r="J16" s="15"/>
      <c r="K16" s="15"/>
      <c r="L16" s="15"/>
      <c r="M16" s="14">
        <f t="shared" si="2"/>
        <v>0</v>
      </c>
      <c r="N16" s="15"/>
      <c r="O16" s="15"/>
      <c r="P16" s="15"/>
      <c r="Q16" s="15"/>
      <c r="R16" s="14">
        <f t="shared" si="3"/>
        <v>0</v>
      </c>
      <c r="S16" s="15"/>
      <c r="T16" s="15"/>
      <c r="U16" s="15"/>
      <c r="V16" s="15"/>
      <c r="W16" s="14">
        <f t="shared" si="4"/>
        <v>0</v>
      </c>
    </row>
    <row r="17" spans="1:23">
      <c r="A17" s="9"/>
      <c r="B17" s="9"/>
      <c r="C17" s="9" t="s">
        <v>22</v>
      </c>
      <c r="D17" s="15"/>
      <c r="E17" s="15"/>
      <c r="F17" s="15"/>
      <c r="G17" s="15"/>
      <c r="H17" s="14">
        <f t="shared" si="1"/>
        <v>0</v>
      </c>
      <c r="I17" s="15"/>
      <c r="J17" s="15"/>
      <c r="K17" s="15"/>
      <c r="L17" s="15"/>
      <c r="M17" s="14">
        <f t="shared" si="2"/>
        <v>0</v>
      </c>
      <c r="N17" s="15"/>
      <c r="O17" s="15"/>
      <c r="P17" s="15"/>
      <c r="Q17" s="15"/>
      <c r="R17" s="14">
        <f t="shared" si="3"/>
        <v>0</v>
      </c>
      <c r="S17" s="15"/>
      <c r="T17" s="15"/>
      <c r="U17" s="15"/>
      <c r="V17" s="15"/>
      <c r="W17" s="14">
        <f t="shared" si="4"/>
        <v>0</v>
      </c>
    </row>
    <row r="18" spans="1:23">
      <c r="A18" s="9"/>
      <c r="B18" s="9" t="s">
        <v>23</v>
      </c>
      <c r="C18" s="9" t="s">
        <v>24</v>
      </c>
      <c r="D18" s="15"/>
      <c r="E18" s="15"/>
      <c r="F18" s="15"/>
      <c r="G18" s="15"/>
      <c r="H18" s="14">
        <f t="shared" si="1"/>
        <v>0</v>
      </c>
      <c r="I18" s="15"/>
      <c r="J18" s="15"/>
      <c r="K18" s="15"/>
      <c r="L18" s="15"/>
      <c r="M18" s="14">
        <f t="shared" si="2"/>
        <v>0</v>
      </c>
      <c r="N18" s="15"/>
      <c r="O18" s="15"/>
      <c r="P18" s="15"/>
      <c r="Q18" s="15"/>
      <c r="R18" s="14">
        <f t="shared" si="3"/>
        <v>0</v>
      </c>
      <c r="S18" s="15"/>
      <c r="T18" s="15"/>
      <c r="U18" s="15"/>
      <c r="V18" s="15"/>
      <c r="W18" s="14">
        <f t="shared" si="4"/>
        <v>0</v>
      </c>
    </row>
    <row r="19" spans="1:23">
      <c r="A19" s="9"/>
      <c r="B19" s="9" t="s">
        <v>25</v>
      </c>
      <c r="C19" s="9" t="s">
        <v>26</v>
      </c>
      <c r="D19" s="15"/>
      <c r="E19" s="18"/>
      <c r="F19" s="18"/>
      <c r="G19" s="18"/>
      <c r="H19" s="19">
        <f t="shared" si="1"/>
        <v>0</v>
      </c>
      <c r="I19" s="18"/>
      <c r="J19" s="18"/>
      <c r="K19" s="18"/>
      <c r="L19" s="18"/>
      <c r="M19" s="19">
        <f t="shared" si="2"/>
        <v>0</v>
      </c>
      <c r="N19" s="18"/>
      <c r="O19" s="18"/>
      <c r="P19" s="18"/>
      <c r="Q19" s="18"/>
      <c r="R19" s="19">
        <f t="shared" si="3"/>
        <v>0</v>
      </c>
      <c r="S19" s="18"/>
      <c r="T19" s="18"/>
      <c r="U19" s="18"/>
      <c r="V19" s="18"/>
      <c r="W19" s="19">
        <f t="shared" si="4"/>
        <v>0</v>
      </c>
    </row>
    <row r="20" spans="1:23">
      <c r="A20" s="8" t="s">
        <v>27</v>
      </c>
      <c r="B20" s="27" t="s">
        <v>28</v>
      </c>
      <c r="C20" s="28"/>
      <c r="D20" s="13">
        <f>SUM(D21,D22,D23,D24)</f>
        <v>0</v>
      </c>
      <c r="E20" s="13">
        <f>SUM(E21,E22,E23,E24)</f>
        <v>0</v>
      </c>
      <c r="F20" s="13">
        <f>SUM(F21,F22,F23,F24)</f>
        <v>0</v>
      </c>
      <c r="G20" s="13">
        <f>SUM(G21,G22,G23,G24)</f>
        <v>0</v>
      </c>
      <c r="H20" s="14">
        <f t="shared" si="1"/>
        <v>0</v>
      </c>
      <c r="I20" s="13">
        <f>SUM(I21,I22,I23,I24)</f>
        <v>0</v>
      </c>
      <c r="J20" s="13">
        <f>SUM(J21,J22,J23,J24)</f>
        <v>0</v>
      </c>
      <c r="K20" s="13">
        <f>SUM(K21,K22,K23,K24)</f>
        <v>0</v>
      </c>
      <c r="L20" s="13">
        <f>SUM(L21,L22,L23,L24)</f>
        <v>0</v>
      </c>
      <c r="M20" s="14">
        <f t="shared" si="2"/>
        <v>0</v>
      </c>
      <c r="N20" s="13">
        <f>SUM(N21,N22,N23,N24)</f>
        <v>0</v>
      </c>
      <c r="O20" s="13">
        <f>SUM(O21,O22,O23,O24)</f>
        <v>0</v>
      </c>
      <c r="P20" s="13">
        <f>SUM(P21,P22,P23,P24)</f>
        <v>0</v>
      </c>
      <c r="Q20" s="13">
        <f>SUM(Q21,Q22,Q23,Q24)</f>
        <v>0</v>
      </c>
      <c r="R20" s="14">
        <f t="shared" si="3"/>
        <v>0</v>
      </c>
      <c r="S20" s="13">
        <f>SUM(S21,S22,S23,S24)</f>
        <v>0</v>
      </c>
      <c r="T20" s="13">
        <f>SUM(T21,T22,T23,T24)</f>
        <v>0</v>
      </c>
      <c r="U20" s="13">
        <f>SUM(U21,U22,U23,U24)</f>
        <v>0</v>
      </c>
      <c r="V20" s="13">
        <f>SUM(V21,V22,V23,V24)</f>
        <v>0</v>
      </c>
      <c r="W20" s="14">
        <f t="shared" si="4"/>
        <v>0</v>
      </c>
    </row>
    <row r="21" spans="1:23">
      <c r="A21" s="9"/>
      <c r="B21" s="9" t="s">
        <v>14</v>
      </c>
      <c r="C21" s="9" t="s">
        <v>29</v>
      </c>
      <c r="D21" s="15"/>
      <c r="E21" s="16"/>
      <c r="F21" s="16"/>
      <c r="G21" s="16"/>
      <c r="H21" s="17">
        <f t="shared" si="1"/>
        <v>0</v>
      </c>
      <c r="I21" s="16"/>
      <c r="J21" s="16"/>
      <c r="K21" s="16"/>
      <c r="L21" s="16"/>
      <c r="M21" s="17">
        <f t="shared" si="2"/>
        <v>0</v>
      </c>
      <c r="N21" s="16"/>
      <c r="O21" s="16"/>
      <c r="P21" s="16"/>
      <c r="Q21" s="16"/>
      <c r="R21" s="17">
        <f t="shared" si="3"/>
        <v>0</v>
      </c>
      <c r="S21" s="16"/>
      <c r="T21" s="16"/>
      <c r="U21" s="16"/>
      <c r="V21" s="16"/>
      <c r="W21" s="17">
        <f t="shared" si="4"/>
        <v>0</v>
      </c>
    </row>
    <row r="22" spans="1:23">
      <c r="A22" s="9"/>
      <c r="B22" s="9" t="s">
        <v>23</v>
      </c>
      <c r="C22" s="9" t="s">
        <v>30</v>
      </c>
      <c r="D22" s="15"/>
      <c r="E22" s="15"/>
      <c r="F22" s="15"/>
      <c r="G22" s="15"/>
      <c r="H22" s="14">
        <f t="shared" si="1"/>
        <v>0</v>
      </c>
      <c r="I22" s="15"/>
      <c r="J22" s="15"/>
      <c r="K22" s="15"/>
      <c r="L22" s="15"/>
      <c r="M22" s="14">
        <f t="shared" si="2"/>
        <v>0</v>
      </c>
      <c r="N22" s="15"/>
      <c r="O22" s="15"/>
      <c r="P22" s="15"/>
      <c r="Q22" s="15"/>
      <c r="R22" s="14">
        <f t="shared" si="3"/>
        <v>0</v>
      </c>
      <c r="S22" s="15"/>
      <c r="T22" s="15"/>
      <c r="U22" s="15"/>
      <c r="V22" s="15"/>
      <c r="W22" s="14">
        <f t="shared" si="4"/>
        <v>0</v>
      </c>
    </row>
    <row r="23" spans="1:23">
      <c r="A23" s="9"/>
      <c r="B23" s="9" t="s">
        <v>25</v>
      </c>
      <c r="C23" s="9" t="s">
        <v>31</v>
      </c>
      <c r="D23" s="15"/>
      <c r="E23" s="15"/>
      <c r="F23" s="15"/>
      <c r="G23" s="15"/>
      <c r="H23" s="14">
        <f t="shared" si="1"/>
        <v>0</v>
      </c>
      <c r="I23" s="15"/>
      <c r="J23" s="15"/>
      <c r="K23" s="15"/>
      <c r="L23" s="15"/>
      <c r="M23" s="14">
        <f t="shared" si="2"/>
        <v>0</v>
      </c>
      <c r="N23" s="15"/>
      <c r="O23" s="15"/>
      <c r="P23" s="15"/>
      <c r="Q23" s="15"/>
      <c r="R23" s="14">
        <f t="shared" si="3"/>
        <v>0</v>
      </c>
      <c r="S23" s="15"/>
      <c r="T23" s="15"/>
      <c r="U23" s="15"/>
      <c r="V23" s="15"/>
      <c r="W23" s="14">
        <f t="shared" si="4"/>
        <v>0</v>
      </c>
    </row>
    <row r="24" spans="1:23">
      <c r="A24" s="9"/>
      <c r="B24" s="9" t="s">
        <v>32</v>
      </c>
      <c r="C24" s="9" t="s">
        <v>33</v>
      </c>
      <c r="D24" s="15"/>
      <c r="E24" s="18"/>
      <c r="F24" s="18"/>
      <c r="G24" s="18"/>
      <c r="H24" s="19">
        <f t="shared" si="1"/>
        <v>0</v>
      </c>
      <c r="I24" s="18"/>
      <c r="J24" s="18"/>
      <c r="K24" s="18"/>
      <c r="L24" s="18"/>
      <c r="M24" s="19">
        <f t="shared" si="2"/>
        <v>0</v>
      </c>
      <c r="N24" s="18"/>
      <c r="O24" s="18"/>
      <c r="P24" s="18"/>
      <c r="Q24" s="18"/>
      <c r="R24" s="19">
        <f t="shared" si="3"/>
        <v>0</v>
      </c>
      <c r="S24" s="18"/>
      <c r="T24" s="18"/>
      <c r="U24" s="18"/>
      <c r="V24" s="18"/>
      <c r="W24" s="19">
        <f t="shared" si="4"/>
        <v>0</v>
      </c>
    </row>
    <row r="25" spans="1:23">
      <c r="A25" s="8" t="s">
        <v>34</v>
      </c>
      <c r="B25" s="27" t="s">
        <v>35</v>
      </c>
      <c r="C25" s="28"/>
      <c r="D25" s="13">
        <f>SUM(D26,D29,D30,D31,D32,D33,D34,D35,D36,D37,D38,D39,D40,D41,D42,D43)</f>
        <v>0</v>
      </c>
      <c r="E25" s="13">
        <f>SUM(E26,E29,E30,E31,E32,E33,E34,E35,E36,E37,E38,E39,E40,E41,E42,E43)</f>
        <v>0</v>
      </c>
      <c r="F25" s="13">
        <f>SUM(F26,F29,F30,F31,F32,F33,F34,F35,F36,F37,F38,F39,F40,F41,F42,F43)</f>
        <v>0</v>
      </c>
      <c r="G25" s="13">
        <f>SUM(G26,G29,G30,G31,G32,G33,G34,G35,G36,G37,G38,G39,G40,G41,G42,G43)</f>
        <v>0</v>
      </c>
      <c r="H25" s="14">
        <f t="shared" si="1"/>
        <v>0</v>
      </c>
      <c r="I25" s="13">
        <f>SUM(I26,I29,I30,I31,I32,I33,I34,I35,I36,I37,I38,I39,I40,I41,I42,I43)</f>
        <v>0</v>
      </c>
      <c r="J25" s="13">
        <f>SUM(J26,J29,J30,J31,J32,J33,J34,J35,J36,J37,J38,J39,J40,J41,J42,J43)</f>
        <v>0</v>
      </c>
      <c r="K25" s="13">
        <f>SUM(K26,K29,K30,K31,K32,K33,K34,K35,K36,K37,K38,K39,K40,K41,K42,K43)</f>
        <v>0</v>
      </c>
      <c r="L25" s="13">
        <f>SUM(L26,L29,L30,L31,L32,L33,L34,L35,L36,L37,L38,L39,L40,L41,L42,L43)</f>
        <v>0</v>
      </c>
      <c r="M25" s="14">
        <f t="shared" si="2"/>
        <v>0</v>
      </c>
      <c r="N25" s="13">
        <f>SUM(N26,N29,N30,N31,N32,N33,N34,N35,N36,N37,N38,N39,N40,N41,N42,N43)</f>
        <v>0</v>
      </c>
      <c r="O25" s="13">
        <f>SUM(O26,O29,O30,O31,O32,O33,O34,O35,O36,O37,O38,O39,O40,O41,O42,O43)</f>
        <v>0</v>
      </c>
      <c r="P25" s="13">
        <f>SUM(P26,P29,P30,P31,P32,P33,P34,P35,P36,P37,P38,P39,P40,P41,P42,P43)</f>
        <v>0</v>
      </c>
      <c r="Q25" s="13">
        <f>SUM(Q26,Q29,Q30,Q31,Q32,Q33,Q34,Q35,Q36,Q37,Q38,Q39,Q40,Q41,Q42,Q43)</f>
        <v>0</v>
      </c>
      <c r="R25" s="14">
        <f t="shared" si="3"/>
        <v>0</v>
      </c>
      <c r="S25" s="13">
        <f>SUM(S26,S29,S30,S31,S32,S33,S34,S35,S36,S37,S38,S39,S40,S41,S42,S43)</f>
        <v>0</v>
      </c>
      <c r="T25" s="13">
        <f>SUM(T26,T29,T30,T31,T32,T33,T34,T35,T36,T37,T38,T39,T40,T41,T42,T43)</f>
        <v>0</v>
      </c>
      <c r="U25" s="13">
        <f>SUM(U26,U29,U30,U31,U32,U33,U34,U35,U36,U37,U38,U39,U40,U41,U42,U43)</f>
        <v>0</v>
      </c>
      <c r="V25" s="13">
        <f>SUM(V26,V29,V30,V31,V32,V33,V34,V35,V36,V37,V38,V39,V40,V41,V42,V43)</f>
        <v>0</v>
      </c>
      <c r="W25" s="14">
        <f t="shared" si="4"/>
        <v>0</v>
      </c>
    </row>
    <row r="26" spans="1:23">
      <c r="A26" s="9"/>
      <c r="B26" s="9" t="s">
        <v>14</v>
      </c>
      <c r="C26" s="9" t="s">
        <v>36</v>
      </c>
      <c r="D26" s="15"/>
      <c r="E26" s="16"/>
      <c r="F26" s="16"/>
      <c r="G26" s="16"/>
      <c r="H26" s="17">
        <f t="shared" si="1"/>
        <v>0</v>
      </c>
      <c r="I26" s="16"/>
      <c r="J26" s="16"/>
      <c r="K26" s="16"/>
      <c r="L26" s="16"/>
      <c r="M26" s="17">
        <f t="shared" si="2"/>
        <v>0</v>
      </c>
      <c r="N26" s="16"/>
      <c r="O26" s="16"/>
      <c r="P26" s="16"/>
      <c r="Q26" s="16"/>
      <c r="R26" s="17">
        <f t="shared" si="3"/>
        <v>0</v>
      </c>
      <c r="S26" s="16"/>
      <c r="T26" s="16"/>
      <c r="U26" s="16"/>
      <c r="V26" s="16"/>
      <c r="W26" s="17">
        <f t="shared" si="4"/>
        <v>0</v>
      </c>
    </row>
    <row r="27" spans="1:23">
      <c r="A27" s="9"/>
      <c r="B27" s="9"/>
      <c r="C27" s="9" t="s">
        <v>37</v>
      </c>
      <c r="D27" s="15"/>
      <c r="E27" s="15"/>
      <c r="F27" s="15"/>
      <c r="G27" s="15"/>
      <c r="H27" s="14">
        <f t="shared" si="1"/>
        <v>0</v>
      </c>
      <c r="I27" s="15"/>
      <c r="J27" s="15"/>
      <c r="K27" s="15"/>
      <c r="L27" s="15"/>
      <c r="M27" s="14">
        <f t="shared" si="2"/>
        <v>0</v>
      </c>
      <c r="N27" s="15"/>
      <c r="O27" s="15"/>
      <c r="P27" s="15"/>
      <c r="Q27" s="15"/>
      <c r="R27" s="14">
        <f t="shared" si="3"/>
        <v>0</v>
      </c>
      <c r="S27" s="15"/>
      <c r="T27" s="15"/>
      <c r="U27" s="15"/>
      <c r="V27" s="15"/>
      <c r="W27" s="14">
        <f t="shared" si="4"/>
        <v>0</v>
      </c>
    </row>
    <row r="28" spans="1:23">
      <c r="A28" s="9"/>
      <c r="B28" s="9"/>
      <c r="C28" s="9" t="s">
        <v>38</v>
      </c>
      <c r="D28" s="15"/>
      <c r="E28" s="15"/>
      <c r="F28" s="15"/>
      <c r="G28" s="15"/>
      <c r="H28" s="14">
        <f t="shared" si="1"/>
        <v>0</v>
      </c>
      <c r="I28" s="15"/>
      <c r="J28" s="15"/>
      <c r="K28" s="15"/>
      <c r="L28" s="15"/>
      <c r="M28" s="14">
        <f t="shared" si="2"/>
        <v>0</v>
      </c>
      <c r="N28" s="15"/>
      <c r="O28" s="15"/>
      <c r="P28" s="15"/>
      <c r="Q28" s="15"/>
      <c r="R28" s="14">
        <f t="shared" si="3"/>
        <v>0</v>
      </c>
      <c r="S28" s="15"/>
      <c r="T28" s="15"/>
      <c r="U28" s="15"/>
      <c r="V28" s="15"/>
      <c r="W28" s="14">
        <f t="shared" si="4"/>
        <v>0</v>
      </c>
    </row>
    <row r="29" spans="1:23">
      <c r="A29" s="9"/>
      <c r="B29" s="9" t="s">
        <v>23</v>
      </c>
      <c r="C29" s="9" t="s">
        <v>39</v>
      </c>
      <c r="D29" s="15"/>
      <c r="E29" s="15"/>
      <c r="F29" s="15"/>
      <c r="G29" s="15"/>
      <c r="H29" s="14">
        <f t="shared" si="1"/>
        <v>0</v>
      </c>
      <c r="I29" s="15"/>
      <c r="J29" s="15"/>
      <c r="K29" s="15"/>
      <c r="L29" s="15"/>
      <c r="M29" s="14">
        <f t="shared" si="2"/>
        <v>0</v>
      </c>
      <c r="N29" s="15"/>
      <c r="O29" s="15"/>
      <c r="P29" s="15"/>
      <c r="Q29" s="15"/>
      <c r="R29" s="14">
        <f t="shared" si="3"/>
        <v>0</v>
      </c>
      <c r="S29" s="15"/>
      <c r="T29" s="15"/>
      <c r="U29" s="15"/>
      <c r="V29" s="15"/>
      <c r="W29" s="14">
        <f t="shared" si="4"/>
        <v>0</v>
      </c>
    </row>
    <row r="30" spans="1:23">
      <c r="A30" s="9"/>
      <c r="B30" s="9" t="s">
        <v>25</v>
      </c>
      <c r="C30" s="9" t="s">
        <v>40</v>
      </c>
      <c r="D30" s="15"/>
      <c r="E30" s="15"/>
      <c r="F30" s="15"/>
      <c r="G30" s="15"/>
      <c r="H30" s="14">
        <f t="shared" si="1"/>
        <v>0</v>
      </c>
      <c r="I30" s="15"/>
      <c r="J30" s="15"/>
      <c r="K30" s="15"/>
      <c r="L30" s="15"/>
      <c r="M30" s="14">
        <f t="shared" si="2"/>
        <v>0</v>
      </c>
      <c r="N30" s="15"/>
      <c r="O30" s="15"/>
      <c r="P30" s="15"/>
      <c r="Q30" s="15"/>
      <c r="R30" s="14">
        <f t="shared" si="3"/>
        <v>0</v>
      </c>
      <c r="S30" s="15"/>
      <c r="T30" s="15"/>
      <c r="U30" s="15"/>
      <c r="V30" s="15"/>
      <c r="W30" s="14">
        <f t="shared" si="4"/>
        <v>0</v>
      </c>
    </row>
    <row r="31" spans="1:23">
      <c r="A31" s="9"/>
      <c r="B31" s="9" t="s">
        <v>32</v>
      </c>
      <c r="C31" s="9" t="s">
        <v>41</v>
      </c>
      <c r="D31" s="15"/>
      <c r="E31" s="15"/>
      <c r="F31" s="15"/>
      <c r="G31" s="15"/>
      <c r="H31" s="14">
        <f t="shared" si="1"/>
        <v>0</v>
      </c>
      <c r="I31" s="15"/>
      <c r="J31" s="15"/>
      <c r="K31" s="15"/>
      <c r="L31" s="15"/>
      <c r="M31" s="14">
        <f t="shared" si="2"/>
        <v>0</v>
      </c>
      <c r="N31" s="15"/>
      <c r="O31" s="15"/>
      <c r="P31" s="15"/>
      <c r="Q31" s="15"/>
      <c r="R31" s="14">
        <f t="shared" si="3"/>
        <v>0</v>
      </c>
      <c r="S31" s="15"/>
      <c r="T31" s="15"/>
      <c r="U31" s="15"/>
      <c r="V31" s="15"/>
      <c r="W31" s="14">
        <f t="shared" si="4"/>
        <v>0</v>
      </c>
    </row>
    <row r="32" spans="1:23">
      <c r="A32" s="9"/>
      <c r="B32" s="9" t="s">
        <v>42</v>
      </c>
      <c r="C32" s="9" t="s">
        <v>43</v>
      </c>
      <c r="D32" s="15"/>
      <c r="E32" s="15"/>
      <c r="F32" s="15"/>
      <c r="G32" s="15"/>
      <c r="H32" s="14">
        <f t="shared" si="1"/>
        <v>0</v>
      </c>
      <c r="I32" s="15"/>
      <c r="J32" s="15"/>
      <c r="K32" s="15"/>
      <c r="L32" s="15"/>
      <c r="M32" s="14">
        <f t="shared" si="2"/>
        <v>0</v>
      </c>
      <c r="N32" s="15"/>
      <c r="O32" s="15"/>
      <c r="P32" s="15"/>
      <c r="Q32" s="15"/>
      <c r="R32" s="14">
        <f t="shared" si="3"/>
        <v>0</v>
      </c>
      <c r="S32" s="15"/>
      <c r="T32" s="15"/>
      <c r="U32" s="15"/>
      <c r="V32" s="15"/>
      <c r="W32" s="14">
        <f t="shared" si="4"/>
        <v>0</v>
      </c>
    </row>
    <row r="33" spans="1:23">
      <c r="A33" s="9"/>
      <c r="B33" s="9" t="s">
        <v>44</v>
      </c>
      <c r="C33" s="9" t="s">
        <v>45</v>
      </c>
      <c r="D33" s="15"/>
      <c r="E33" s="15"/>
      <c r="F33" s="15"/>
      <c r="G33" s="15"/>
      <c r="H33" s="14">
        <f t="shared" si="1"/>
        <v>0</v>
      </c>
      <c r="I33" s="15"/>
      <c r="J33" s="15"/>
      <c r="K33" s="15"/>
      <c r="L33" s="15"/>
      <c r="M33" s="14">
        <f t="shared" si="2"/>
        <v>0</v>
      </c>
      <c r="N33" s="15"/>
      <c r="O33" s="15"/>
      <c r="P33" s="15"/>
      <c r="Q33" s="15"/>
      <c r="R33" s="14">
        <f t="shared" si="3"/>
        <v>0</v>
      </c>
      <c r="S33" s="15"/>
      <c r="T33" s="15"/>
      <c r="U33" s="15"/>
      <c r="V33" s="15"/>
      <c r="W33" s="14">
        <f t="shared" si="4"/>
        <v>0</v>
      </c>
    </row>
    <row r="34" spans="1:23">
      <c r="A34" s="9"/>
      <c r="B34" s="9" t="s">
        <v>46</v>
      </c>
      <c r="C34" s="9" t="s">
        <v>47</v>
      </c>
      <c r="D34" s="15"/>
      <c r="E34" s="15"/>
      <c r="F34" s="15"/>
      <c r="G34" s="15"/>
      <c r="H34" s="14">
        <f t="shared" si="1"/>
        <v>0</v>
      </c>
      <c r="I34" s="15"/>
      <c r="J34" s="15"/>
      <c r="K34" s="15"/>
      <c r="L34" s="15"/>
      <c r="M34" s="14">
        <f t="shared" si="2"/>
        <v>0</v>
      </c>
      <c r="N34" s="15"/>
      <c r="O34" s="15"/>
      <c r="P34" s="15"/>
      <c r="Q34" s="15"/>
      <c r="R34" s="14">
        <f t="shared" si="3"/>
        <v>0</v>
      </c>
      <c r="S34" s="15"/>
      <c r="T34" s="15"/>
      <c r="U34" s="15"/>
      <c r="V34" s="15"/>
      <c r="W34" s="14">
        <f t="shared" si="4"/>
        <v>0</v>
      </c>
    </row>
    <row r="35" spans="1:23">
      <c r="A35" s="9"/>
      <c r="B35" s="9" t="s">
        <v>48</v>
      </c>
      <c r="C35" s="9" t="s">
        <v>49</v>
      </c>
      <c r="D35" s="15"/>
      <c r="E35" s="15"/>
      <c r="F35" s="15"/>
      <c r="G35" s="15"/>
      <c r="H35" s="14">
        <f t="shared" si="1"/>
        <v>0</v>
      </c>
      <c r="I35" s="15"/>
      <c r="J35" s="15"/>
      <c r="K35" s="15"/>
      <c r="L35" s="15"/>
      <c r="M35" s="14">
        <f t="shared" si="2"/>
        <v>0</v>
      </c>
      <c r="N35" s="15"/>
      <c r="O35" s="15"/>
      <c r="P35" s="15"/>
      <c r="Q35" s="15"/>
      <c r="R35" s="14">
        <f t="shared" si="3"/>
        <v>0</v>
      </c>
      <c r="S35" s="15"/>
      <c r="T35" s="15"/>
      <c r="U35" s="15"/>
      <c r="V35" s="15"/>
      <c r="W35" s="14">
        <f t="shared" si="4"/>
        <v>0</v>
      </c>
    </row>
    <row r="36" spans="1:23">
      <c r="A36" s="9"/>
      <c r="B36" s="9" t="s">
        <v>50</v>
      </c>
      <c r="C36" s="9" t="s">
        <v>51</v>
      </c>
      <c r="D36" s="15"/>
      <c r="E36" s="15"/>
      <c r="F36" s="15"/>
      <c r="G36" s="15"/>
      <c r="H36" s="14">
        <f t="shared" si="1"/>
        <v>0</v>
      </c>
      <c r="I36" s="15"/>
      <c r="J36" s="15"/>
      <c r="K36" s="15"/>
      <c r="L36" s="15"/>
      <c r="M36" s="14">
        <f t="shared" si="2"/>
        <v>0</v>
      </c>
      <c r="N36" s="15"/>
      <c r="O36" s="15"/>
      <c r="P36" s="15"/>
      <c r="Q36" s="15"/>
      <c r="R36" s="14">
        <f t="shared" si="3"/>
        <v>0</v>
      </c>
      <c r="S36" s="15"/>
      <c r="T36" s="15"/>
      <c r="U36" s="15"/>
      <c r="V36" s="15"/>
      <c r="W36" s="14">
        <f t="shared" si="4"/>
        <v>0</v>
      </c>
    </row>
    <row r="37" spans="1:23">
      <c r="A37" s="9"/>
      <c r="B37" s="9" t="s">
        <v>52</v>
      </c>
      <c r="C37" s="9" t="s">
        <v>53</v>
      </c>
      <c r="D37" s="15"/>
      <c r="E37" s="15"/>
      <c r="F37" s="15"/>
      <c r="G37" s="15"/>
      <c r="H37" s="14">
        <f t="shared" si="1"/>
        <v>0</v>
      </c>
      <c r="I37" s="15"/>
      <c r="J37" s="15"/>
      <c r="K37" s="15"/>
      <c r="L37" s="15"/>
      <c r="M37" s="14">
        <f t="shared" si="2"/>
        <v>0</v>
      </c>
      <c r="N37" s="15"/>
      <c r="O37" s="15"/>
      <c r="P37" s="15"/>
      <c r="Q37" s="15"/>
      <c r="R37" s="14">
        <f t="shared" si="3"/>
        <v>0</v>
      </c>
      <c r="S37" s="15"/>
      <c r="T37" s="15"/>
      <c r="U37" s="15"/>
      <c r="V37" s="15"/>
      <c r="W37" s="14">
        <f t="shared" si="4"/>
        <v>0</v>
      </c>
    </row>
    <row r="38" spans="1:23">
      <c r="A38" s="9"/>
      <c r="B38" s="9" t="s">
        <v>54</v>
      </c>
      <c r="C38" s="9" t="s">
        <v>55</v>
      </c>
      <c r="D38" s="15"/>
      <c r="E38" s="15"/>
      <c r="F38" s="15"/>
      <c r="G38" s="15"/>
      <c r="H38" s="14">
        <f t="shared" si="1"/>
        <v>0</v>
      </c>
      <c r="I38" s="15"/>
      <c r="J38" s="15"/>
      <c r="K38" s="15"/>
      <c r="L38" s="15"/>
      <c r="M38" s="14">
        <f t="shared" si="2"/>
        <v>0</v>
      </c>
      <c r="N38" s="15"/>
      <c r="O38" s="15"/>
      <c r="P38" s="15"/>
      <c r="Q38" s="15"/>
      <c r="R38" s="14">
        <f t="shared" si="3"/>
        <v>0</v>
      </c>
      <c r="S38" s="15"/>
      <c r="T38" s="15"/>
      <c r="U38" s="15"/>
      <c r="V38" s="15"/>
      <c r="W38" s="14">
        <f t="shared" si="4"/>
        <v>0</v>
      </c>
    </row>
    <row r="39" spans="1:23">
      <c r="A39" s="9"/>
      <c r="B39" s="9" t="s">
        <v>56</v>
      </c>
      <c r="C39" s="9" t="s">
        <v>57</v>
      </c>
      <c r="D39" s="15"/>
      <c r="E39" s="15"/>
      <c r="F39" s="15"/>
      <c r="G39" s="15"/>
      <c r="H39" s="14">
        <f t="shared" si="1"/>
        <v>0</v>
      </c>
      <c r="I39" s="15"/>
      <c r="J39" s="15"/>
      <c r="K39" s="15"/>
      <c r="L39" s="15"/>
      <c r="M39" s="14">
        <f t="shared" si="2"/>
        <v>0</v>
      </c>
      <c r="N39" s="15"/>
      <c r="O39" s="15"/>
      <c r="P39" s="15"/>
      <c r="Q39" s="15"/>
      <c r="R39" s="14">
        <f t="shared" si="3"/>
        <v>0</v>
      </c>
      <c r="S39" s="15"/>
      <c r="T39" s="15"/>
      <c r="U39" s="15"/>
      <c r="V39" s="15"/>
      <c r="W39" s="14">
        <f t="shared" si="4"/>
        <v>0</v>
      </c>
    </row>
    <row r="40" spans="1:23">
      <c r="A40" s="9"/>
      <c r="B40" s="9" t="s">
        <v>58</v>
      </c>
      <c r="C40" s="9" t="s">
        <v>59</v>
      </c>
      <c r="D40" s="15"/>
      <c r="E40" s="15"/>
      <c r="F40" s="15"/>
      <c r="G40" s="15"/>
      <c r="H40" s="14">
        <f t="shared" si="1"/>
        <v>0</v>
      </c>
      <c r="I40" s="15"/>
      <c r="J40" s="15"/>
      <c r="K40" s="15"/>
      <c r="L40" s="15"/>
      <c r="M40" s="14">
        <f t="shared" si="2"/>
        <v>0</v>
      </c>
      <c r="N40" s="15"/>
      <c r="O40" s="15"/>
      <c r="P40" s="15"/>
      <c r="Q40" s="15"/>
      <c r="R40" s="14">
        <f t="shared" si="3"/>
        <v>0</v>
      </c>
      <c r="S40" s="15"/>
      <c r="T40" s="15"/>
      <c r="U40" s="15"/>
      <c r="V40" s="15"/>
      <c r="W40" s="14">
        <f t="shared" si="4"/>
        <v>0</v>
      </c>
    </row>
    <row r="41" spans="1:23">
      <c r="A41" s="9"/>
      <c r="B41" s="9" t="s">
        <v>60</v>
      </c>
      <c r="C41" s="9" t="s">
        <v>61</v>
      </c>
      <c r="D41" s="15"/>
      <c r="E41" s="15"/>
      <c r="F41" s="15"/>
      <c r="G41" s="15"/>
      <c r="H41" s="14">
        <f t="shared" si="1"/>
        <v>0</v>
      </c>
      <c r="I41" s="15"/>
      <c r="J41" s="15"/>
      <c r="K41" s="15"/>
      <c r="L41" s="15"/>
      <c r="M41" s="14">
        <f t="shared" si="2"/>
        <v>0</v>
      </c>
      <c r="N41" s="15"/>
      <c r="O41" s="15"/>
      <c r="P41" s="15"/>
      <c r="Q41" s="15"/>
      <c r="R41" s="14">
        <f t="shared" si="3"/>
        <v>0</v>
      </c>
      <c r="S41" s="15"/>
      <c r="T41" s="15"/>
      <c r="U41" s="15"/>
      <c r="V41" s="15"/>
      <c r="W41" s="14">
        <f t="shared" si="4"/>
        <v>0</v>
      </c>
    </row>
    <row r="42" spans="1:23">
      <c r="A42" s="9"/>
      <c r="B42" s="9" t="s">
        <v>62</v>
      </c>
      <c r="C42" s="9" t="s">
        <v>63</v>
      </c>
      <c r="D42" s="15"/>
      <c r="E42" s="15"/>
      <c r="F42" s="15"/>
      <c r="G42" s="15"/>
      <c r="H42" s="14">
        <f t="shared" si="1"/>
        <v>0</v>
      </c>
      <c r="I42" s="15"/>
      <c r="J42" s="15"/>
      <c r="K42" s="15"/>
      <c r="L42" s="15"/>
      <c r="M42" s="14">
        <f t="shared" si="2"/>
        <v>0</v>
      </c>
      <c r="N42" s="15"/>
      <c r="O42" s="15"/>
      <c r="P42" s="15"/>
      <c r="Q42" s="15"/>
      <c r="R42" s="14">
        <f t="shared" si="3"/>
        <v>0</v>
      </c>
      <c r="S42" s="15"/>
      <c r="T42" s="15"/>
      <c r="U42" s="15"/>
      <c r="V42" s="15"/>
      <c r="W42" s="14">
        <f t="shared" si="4"/>
        <v>0</v>
      </c>
    </row>
    <row r="43" spans="1:23">
      <c r="A43" s="9"/>
      <c r="B43" s="9" t="s">
        <v>64</v>
      </c>
      <c r="C43" s="9" t="s">
        <v>65</v>
      </c>
      <c r="D43" s="15"/>
      <c r="E43" s="18"/>
      <c r="F43" s="18"/>
      <c r="G43" s="18"/>
      <c r="H43" s="19">
        <f t="shared" si="1"/>
        <v>0</v>
      </c>
      <c r="I43" s="18"/>
      <c r="J43" s="18"/>
      <c r="K43" s="18"/>
      <c r="L43" s="18"/>
      <c r="M43" s="19">
        <f t="shared" si="2"/>
        <v>0</v>
      </c>
      <c r="N43" s="18"/>
      <c r="O43" s="18"/>
      <c r="P43" s="18"/>
      <c r="Q43" s="18"/>
      <c r="R43" s="19">
        <f t="shared" si="3"/>
        <v>0</v>
      </c>
      <c r="S43" s="18"/>
      <c r="T43" s="18"/>
      <c r="U43" s="18"/>
      <c r="V43" s="18"/>
      <c r="W43" s="19">
        <f t="shared" si="4"/>
        <v>0</v>
      </c>
    </row>
    <row r="44" spans="1:23">
      <c r="A44" s="8" t="s">
        <v>66</v>
      </c>
      <c r="B44" s="27" t="s">
        <v>67</v>
      </c>
      <c r="C44" s="28"/>
      <c r="D44" s="13">
        <f>SUM(D45,D46)</f>
        <v>0</v>
      </c>
      <c r="E44" s="13">
        <f>SUM(E45,E46)</f>
        <v>0</v>
      </c>
      <c r="F44" s="13">
        <f>SUM(F45,F46)</f>
        <v>0</v>
      </c>
      <c r="G44" s="13">
        <f>SUM(G45,G46)</f>
        <v>0</v>
      </c>
      <c r="H44" s="14">
        <f t="shared" si="1"/>
        <v>0</v>
      </c>
      <c r="I44" s="13">
        <f>SUM(I45,I46)</f>
        <v>0</v>
      </c>
      <c r="J44" s="13">
        <f>SUM(J45,J46)</f>
        <v>0</v>
      </c>
      <c r="K44" s="13">
        <f>SUM(K45,K46)</f>
        <v>0</v>
      </c>
      <c r="L44" s="13">
        <f>SUM(L45,L46)</f>
        <v>0</v>
      </c>
      <c r="M44" s="14">
        <f t="shared" si="2"/>
        <v>0</v>
      </c>
      <c r="N44" s="13">
        <f>SUM(N45,N46)</f>
        <v>0</v>
      </c>
      <c r="O44" s="13">
        <f>SUM(O45,O46)</f>
        <v>0</v>
      </c>
      <c r="P44" s="13">
        <f>SUM(P45,P46)</f>
        <v>0</v>
      </c>
      <c r="Q44" s="13">
        <f>SUM(Q45,Q46)</f>
        <v>0</v>
      </c>
      <c r="R44" s="14">
        <f t="shared" si="3"/>
        <v>0</v>
      </c>
      <c r="S44" s="13">
        <f>SUM(S45,S46)</f>
        <v>0</v>
      </c>
      <c r="T44" s="13">
        <f>SUM(T45,T46)</f>
        <v>0</v>
      </c>
      <c r="U44" s="13">
        <f>SUM(U45,U46)</f>
        <v>0</v>
      </c>
      <c r="V44" s="13">
        <f>SUM(V45,V46)</f>
        <v>0</v>
      </c>
      <c r="W44" s="14">
        <f t="shared" si="4"/>
        <v>0</v>
      </c>
    </row>
    <row r="45" spans="1:23">
      <c r="A45" s="9"/>
      <c r="B45" s="9" t="s">
        <v>14</v>
      </c>
      <c r="C45" s="9" t="s">
        <v>68</v>
      </c>
      <c r="D45" s="15"/>
      <c r="E45" s="16"/>
      <c r="F45" s="16"/>
      <c r="G45" s="16"/>
      <c r="H45" s="17">
        <f t="shared" si="1"/>
        <v>0</v>
      </c>
      <c r="I45" s="16"/>
      <c r="J45" s="16"/>
      <c r="K45" s="16"/>
      <c r="L45" s="16"/>
      <c r="M45" s="17">
        <f t="shared" si="2"/>
        <v>0</v>
      </c>
      <c r="N45" s="16"/>
      <c r="O45" s="16"/>
      <c r="P45" s="16"/>
      <c r="Q45" s="16"/>
      <c r="R45" s="17">
        <f t="shared" si="3"/>
        <v>0</v>
      </c>
      <c r="S45" s="16"/>
      <c r="T45" s="16"/>
      <c r="U45" s="16"/>
      <c r="V45" s="16"/>
      <c r="W45" s="17">
        <f t="shared" si="4"/>
        <v>0</v>
      </c>
    </row>
    <row r="46" spans="1:23">
      <c r="A46" s="9"/>
      <c r="B46" s="9" t="s">
        <v>23</v>
      </c>
      <c r="C46" s="9" t="s">
        <v>69</v>
      </c>
      <c r="D46" s="15"/>
      <c r="E46" s="18"/>
      <c r="F46" s="18"/>
      <c r="G46" s="18"/>
      <c r="H46" s="19">
        <f t="shared" si="1"/>
        <v>0</v>
      </c>
      <c r="I46" s="18"/>
      <c r="J46" s="18"/>
      <c r="K46" s="18"/>
      <c r="L46" s="18"/>
      <c r="M46" s="19">
        <f t="shared" si="2"/>
        <v>0</v>
      </c>
      <c r="N46" s="18"/>
      <c r="O46" s="18"/>
      <c r="P46" s="18"/>
      <c r="Q46" s="18"/>
      <c r="R46" s="19">
        <f t="shared" si="3"/>
        <v>0</v>
      </c>
      <c r="S46" s="18"/>
      <c r="T46" s="18"/>
      <c r="U46" s="18"/>
      <c r="V46" s="18"/>
      <c r="W46" s="19">
        <f t="shared" si="4"/>
        <v>0</v>
      </c>
    </row>
    <row r="47" spans="1:23">
      <c r="A47" s="8" t="s">
        <v>70</v>
      </c>
      <c r="B47" s="27" t="s">
        <v>71</v>
      </c>
      <c r="C47" s="28"/>
      <c r="D47" s="13"/>
      <c r="E47" s="13"/>
      <c r="F47" s="13"/>
      <c r="G47" s="13"/>
      <c r="H47" s="14">
        <f t="shared" si="1"/>
        <v>0</v>
      </c>
      <c r="I47" s="13"/>
      <c r="J47" s="13"/>
      <c r="K47" s="13"/>
      <c r="L47" s="13"/>
      <c r="M47" s="14">
        <f t="shared" si="2"/>
        <v>0</v>
      </c>
      <c r="N47" s="13"/>
      <c r="O47" s="13"/>
      <c r="P47" s="13"/>
      <c r="Q47" s="13"/>
      <c r="R47" s="14">
        <f t="shared" si="3"/>
        <v>0</v>
      </c>
      <c r="S47" s="13"/>
      <c r="T47" s="13"/>
      <c r="U47" s="13"/>
      <c r="V47" s="13"/>
      <c r="W47" s="14">
        <f t="shared" si="4"/>
        <v>0</v>
      </c>
    </row>
    <row r="48" spans="1:23">
      <c r="A48" s="8" t="s">
        <v>72</v>
      </c>
      <c r="B48" s="27" t="s">
        <v>73</v>
      </c>
      <c r="C48" s="28"/>
      <c r="D48" s="13"/>
      <c r="E48" s="13"/>
      <c r="F48" s="13"/>
      <c r="G48" s="13"/>
      <c r="H48" s="14">
        <f t="shared" si="1"/>
        <v>0</v>
      </c>
      <c r="I48" s="13"/>
      <c r="J48" s="13"/>
      <c r="K48" s="13"/>
      <c r="L48" s="13"/>
      <c r="M48" s="14">
        <f t="shared" si="2"/>
        <v>0</v>
      </c>
      <c r="N48" s="13"/>
      <c r="O48" s="13"/>
      <c r="P48" s="13"/>
      <c r="Q48" s="13"/>
      <c r="R48" s="14">
        <f t="shared" si="3"/>
        <v>0</v>
      </c>
      <c r="S48" s="13"/>
      <c r="T48" s="13"/>
      <c r="U48" s="13"/>
      <c r="V48" s="13"/>
      <c r="W48" s="14">
        <f t="shared" si="4"/>
        <v>0</v>
      </c>
    </row>
    <row r="49" spans="1:23">
      <c r="A49" s="8" t="s">
        <v>74</v>
      </c>
      <c r="B49" s="27" t="s">
        <v>75</v>
      </c>
      <c r="C49" s="28"/>
      <c r="D49" s="13">
        <f>SUM(D50,D51)</f>
        <v>0</v>
      </c>
      <c r="E49" s="13">
        <f>SUM(E50,E51)</f>
        <v>0</v>
      </c>
      <c r="F49" s="13">
        <f>SUM(F50,F51)</f>
        <v>0</v>
      </c>
      <c r="G49" s="13">
        <f>SUM(G50,G51)</f>
        <v>0</v>
      </c>
      <c r="H49" s="14">
        <f t="shared" si="1"/>
        <v>0</v>
      </c>
      <c r="I49" s="13">
        <f>SUM(I50,I51)</f>
        <v>0</v>
      </c>
      <c r="J49" s="13">
        <f>SUM(J50,J51)</f>
        <v>0</v>
      </c>
      <c r="K49" s="13">
        <f>SUM(K50,K51)</f>
        <v>0</v>
      </c>
      <c r="L49" s="13">
        <f>SUM(L50,L51)</f>
        <v>0</v>
      </c>
      <c r="M49" s="14">
        <f t="shared" si="2"/>
        <v>0</v>
      </c>
      <c r="N49" s="13">
        <f>SUM(N50,N51)</f>
        <v>0</v>
      </c>
      <c r="O49" s="13">
        <f>SUM(O50,O51)</f>
        <v>0</v>
      </c>
      <c r="P49" s="13">
        <f>SUM(P50,P51)</f>
        <v>0</v>
      </c>
      <c r="Q49" s="13">
        <f>SUM(Q50,Q51)</f>
        <v>0</v>
      </c>
      <c r="R49" s="14">
        <f t="shared" si="3"/>
        <v>0</v>
      </c>
      <c r="S49" s="13">
        <f>SUM(S50,S51)</f>
        <v>0</v>
      </c>
      <c r="T49" s="13">
        <f>SUM(T50,T51)</f>
        <v>0</v>
      </c>
      <c r="U49" s="13">
        <f>SUM(U50,U51)</f>
        <v>0</v>
      </c>
      <c r="V49" s="13">
        <f>SUM(V50,V51)</f>
        <v>0</v>
      </c>
      <c r="W49" s="14">
        <f t="shared" si="4"/>
        <v>0</v>
      </c>
    </row>
    <row r="50" spans="1:23">
      <c r="A50" s="9"/>
      <c r="B50" s="9" t="s">
        <v>14</v>
      </c>
      <c r="C50" s="9" t="s">
        <v>76</v>
      </c>
      <c r="D50" s="15"/>
      <c r="E50" s="16"/>
      <c r="F50" s="16"/>
      <c r="G50" s="16"/>
      <c r="H50" s="17">
        <f t="shared" si="1"/>
        <v>0</v>
      </c>
      <c r="I50" s="16"/>
      <c r="J50" s="16"/>
      <c r="K50" s="16"/>
      <c r="L50" s="16"/>
      <c r="M50" s="17">
        <f t="shared" si="2"/>
        <v>0</v>
      </c>
      <c r="N50" s="16"/>
      <c r="O50" s="16"/>
      <c r="P50" s="16"/>
      <c r="Q50" s="16"/>
      <c r="R50" s="17">
        <f t="shared" si="3"/>
        <v>0</v>
      </c>
      <c r="S50" s="16"/>
      <c r="T50" s="16"/>
      <c r="U50" s="16"/>
      <c r="V50" s="16"/>
      <c r="W50" s="17">
        <f t="shared" si="4"/>
        <v>0</v>
      </c>
    </row>
    <row r="51" spans="1:23">
      <c r="A51" s="9"/>
      <c r="B51" s="9" t="s">
        <v>23</v>
      </c>
      <c r="C51" s="9" t="s">
        <v>77</v>
      </c>
      <c r="D51" s="15"/>
      <c r="E51" s="18"/>
      <c r="F51" s="18"/>
      <c r="G51" s="18"/>
      <c r="H51" s="19">
        <f t="shared" si="1"/>
        <v>0</v>
      </c>
      <c r="I51" s="18"/>
      <c r="J51" s="18"/>
      <c r="K51" s="18"/>
      <c r="L51" s="18"/>
      <c r="M51" s="19">
        <f t="shared" si="2"/>
        <v>0</v>
      </c>
      <c r="N51" s="18"/>
      <c r="O51" s="18"/>
      <c r="P51" s="18"/>
      <c r="Q51" s="18"/>
      <c r="R51" s="19">
        <f t="shared" si="3"/>
        <v>0</v>
      </c>
      <c r="S51" s="18"/>
      <c r="T51" s="18"/>
      <c r="U51" s="18"/>
      <c r="V51" s="18"/>
      <c r="W51" s="19">
        <f t="shared" si="4"/>
        <v>0</v>
      </c>
    </row>
    <row r="52" spans="1:23">
      <c r="A52" s="8" t="s">
        <v>78</v>
      </c>
      <c r="B52" s="27" t="s">
        <v>79</v>
      </c>
      <c r="C52" s="28"/>
      <c r="D52" s="13">
        <f>SUM(D53,D54,D55,D56,D57,D58)</f>
        <v>0</v>
      </c>
      <c r="E52" s="13">
        <f>SUM(E53,E54,E55,E56,E57,E58)</f>
        <v>0</v>
      </c>
      <c r="F52" s="13">
        <f>SUM(F53,F54,F55,F56,F57,F58)</f>
        <v>0</v>
      </c>
      <c r="G52" s="13">
        <f>SUM(G53,G54,G55,G56,G57,G58)</f>
        <v>0</v>
      </c>
      <c r="H52" s="14">
        <f t="shared" si="1"/>
        <v>0</v>
      </c>
      <c r="I52" s="13">
        <f>SUM(I53,I54,I55,I56,I57,I58)</f>
        <v>0</v>
      </c>
      <c r="J52" s="13">
        <f>SUM(J53,J54,J55,J56,J57,J58)</f>
        <v>0</v>
      </c>
      <c r="K52" s="13">
        <f>SUM(K53,K54,K55,K56,K57,K58)</f>
        <v>0</v>
      </c>
      <c r="L52" s="13">
        <f>SUM(L53,L54,L55,L56,L57,L58)</f>
        <v>0</v>
      </c>
      <c r="M52" s="14">
        <f t="shared" si="2"/>
        <v>0</v>
      </c>
      <c r="N52" s="13">
        <f>SUM(N53,N54,N55,N56,N57,N58)</f>
        <v>0</v>
      </c>
      <c r="O52" s="13">
        <f>SUM(O53,O54,O55,O56,O57,O58)</f>
        <v>0</v>
      </c>
      <c r="P52" s="13">
        <f>SUM(P53,P54,P55,P56,P57,P58)</f>
        <v>0</v>
      </c>
      <c r="Q52" s="13">
        <f>SUM(Q53,Q54,Q55,Q56,Q57,Q58)</f>
        <v>0</v>
      </c>
      <c r="R52" s="14">
        <f t="shared" si="3"/>
        <v>0</v>
      </c>
      <c r="S52" s="13">
        <f>SUM(S53,S54,S55,S56,S57,S58)</f>
        <v>0</v>
      </c>
      <c r="T52" s="13">
        <f>SUM(T53,T54,T55,T56,T57,T58)</f>
        <v>0</v>
      </c>
      <c r="U52" s="13">
        <f>SUM(U53,U54,U55,U56,U57,U58)</f>
        <v>0</v>
      </c>
      <c r="V52" s="13">
        <f>SUM(V53,V54,V55,V56,V57,V58)</f>
        <v>0</v>
      </c>
      <c r="W52" s="14">
        <f t="shared" si="4"/>
        <v>0</v>
      </c>
    </row>
    <row r="53" spans="1:23">
      <c r="A53" s="9"/>
      <c r="B53" s="9" t="s">
        <v>14</v>
      </c>
      <c r="C53" s="9" t="s">
        <v>80</v>
      </c>
      <c r="D53" s="15"/>
      <c r="E53" s="16"/>
      <c r="F53" s="16"/>
      <c r="G53" s="16"/>
      <c r="H53" s="17">
        <f t="shared" si="1"/>
        <v>0</v>
      </c>
      <c r="I53" s="16"/>
      <c r="J53" s="16"/>
      <c r="K53" s="16"/>
      <c r="L53" s="16"/>
      <c r="M53" s="17">
        <f t="shared" si="2"/>
        <v>0</v>
      </c>
      <c r="N53" s="16"/>
      <c r="O53" s="16"/>
      <c r="P53" s="16"/>
      <c r="Q53" s="16"/>
      <c r="R53" s="17">
        <f t="shared" si="3"/>
        <v>0</v>
      </c>
      <c r="S53" s="16"/>
      <c r="T53" s="16"/>
      <c r="U53" s="16"/>
      <c r="V53" s="16"/>
      <c r="W53" s="17">
        <f t="shared" si="4"/>
        <v>0</v>
      </c>
    </row>
    <row r="54" spans="1:23">
      <c r="A54" s="9"/>
      <c r="B54" s="9" t="s">
        <v>23</v>
      </c>
      <c r="C54" s="9" t="s">
        <v>81</v>
      </c>
      <c r="D54" s="15"/>
      <c r="E54" s="15"/>
      <c r="F54" s="15"/>
      <c r="G54" s="15"/>
      <c r="H54" s="14">
        <f t="shared" si="1"/>
        <v>0</v>
      </c>
      <c r="I54" s="15"/>
      <c r="J54" s="15"/>
      <c r="K54" s="15"/>
      <c r="L54" s="15"/>
      <c r="M54" s="14">
        <f t="shared" si="2"/>
        <v>0</v>
      </c>
      <c r="N54" s="15"/>
      <c r="O54" s="15"/>
      <c r="P54" s="15"/>
      <c r="Q54" s="15"/>
      <c r="R54" s="14">
        <f t="shared" si="3"/>
        <v>0</v>
      </c>
      <c r="S54" s="15"/>
      <c r="T54" s="15"/>
      <c r="U54" s="15"/>
      <c r="V54" s="15"/>
      <c r="W54" s="14">
        <f t="shared" si="4"/>
        <v>0</v>
      </c>
    </row>
    <row r="55" spans="1:23">
      <c r="A55" s="9"/>
      <c r="B55" s="9" t="s">
        <v>25</v>
      </c>
      <c r="C55" s="9" t="s">
        <v>82</v>
      </c>
      <c r="D55" s="15"/>
      <c r="E55" s="15"/>
      <c r="F55" s="15"/>
      <c r="G55" s="15"/>
      <c r="H55" s="14">
        <f t="shared" si="1"/>
        <v>0</v>
      </c>
      <c r="I55" s="15"/>
      <c r="J55" s="15"/>
      <c r="K55" s="15"/>
      <c r="L55" s="15"/>
      <c r="M55" s="14">
        <f t="shared" si="2"/>
        <v>0</v>
      </c>
      <c r="N55" s="15"/>
      <c r="O55" s="15"/>
      <c r="P55" s="15"/>
      <c r="Q55" s="15"/>
      <c r="R55" s="14">
        <f t="shared" si="3"/>
        <v>0</v>
      </c>
      <c r="S55" s="15"/>
      <c r="T55" s="15"/>
      <c r="U55" s="15"/>
      <c r="V55" s="15"/>
      <c r="W55" s="14">
        <f t="shared" si="4"/>
        <v>0</v>
      </c>
    </row>
    <row r="56" spans="1:23">
      <c r="A56" s="9"/>
      <c r="B56" s="9" t="s">
        <v>32</v>
      </c>
      <c r="C56" s="9" t="s">
        <v>83</v>
      </c>
      <c r="D56" s="15"/>
      <c r="E56" s="15"/>
      <c r="F56" s="15"/>
      <c r="G56" s="15"/>
      <c r="H56" s="14">
        <f t="shared" si="1"/>
        <v>0</v>
      </c>
      <c r="I56" s="15"/>
      <c r="J56" s="15"/>
      <c r="K56" s="15"/>
      <c r="L56" s="15"/>
      <c r="M56" s="14">
        <f t="shared" si="2"/>
        <v>0</v>
      </c>
      <c r="N56" s="15"/>
      <c r="O56" s="15"/>
      <c r="P56" s="15"/>
      <c r="Q56" s="15"/>
      <c r="R56" s="14">
        <f t="shared" si="3"/>
        <v>0</v>
      </c>
      <c r="S56" s="15"/>
      <c r="T56" s="15"/>
      <c r="U56" s="15"/>
      <c r="V56" s="15"/>
      <c r="W56" s="14">
        <f t="shared" si="4"/>
        <v>0</v>
      </c>
    </row>
    <row r="57" spans="1:23">
      <c r="A57" s="9"/>
      <c r="B57" s="9" t="s">
        <v>42</v>
      </c>
      <c r="C57" s="9" t="s">
        <v>84</v>
      </c>
      <c r="D57" s="15"/>
      <c r="E57" s="15"/>
      <c r="F57" s="15"/>
      <c r="G57" s="15"/>
      <c r="H57" s="14">
        <f t="shared" si="1"/>
        <v>0</v>
      </c>
      <c r="I57" s="15"/>
      <c r="J57" s="15"/>
      <c r="K57" s="15"/>
      <c r="L57" s="15"/>
      <c r="M57" s="14">
        <f t="shared" si="2"/>
        <v>0</v>
      </c>
      <c r="N57" s="15"/>
      <c r="O57" s="15"/>
      <c r="P57" s="15"/>
      <c r="Q57" s="15"/>
      <c r="R57" s="14">
        <f t="shared" si="3"/>
        <v>0</v>
      </c>
      <c r="S57" s="15"/>
      <c r="T57" s="15"/>
      <c r="U57" s="15"/>
      <c r="V57" s="15"/>
      <c r="W57" s="14">
        <f t="shared" si="4"/>
        <v>0</v>
      </c>
    </row>
    <row r="58" spans="1:23">
      <c r="A58" s="9"/>
      <c r="B58" s="9" t="s">
        <v>44</v>
      </c>
      <c r="C58" s="9" t="s">
        <v>85</v>
      </c>
      <c r="D58" s="15"/>
      <c r="E58" s="18"/>
      <c r="F58" s="18"/>
      <c r="G58" s="18"/>
      <c r="H58" s="14">
        <f t="shared" si="1"/>
        <v>0</v>
      </c>
      <c r="I58" s="18"/>
      <c r="J58" s="18"/>
      <c r="K58" s="18"/>
      <c r="L58" s="18"/>
      <c r="M58" s="19">
        <f t="shared" si="2"/>
        <v>0</v>
      </c>
      <c r="N58" s="18"/>
      <c r="O58" s="18"/>
      <c r="P58" s="18"/>
      <c r="Q58" s="18"/>
      <c r="R58" s="14">
        <f t="shared" si="3"/>
        <v>0</v>
      </c>
      <c r="S58" s="18"/>
      <c r="T58" s="18"/>
      <c r="U58" s="18"/>
      <c r="V58" s="18"/>
      <c r="W58" s="14">
        <f t="shared" si="4"/>
        <v>0</v>
      </c>
    </row>
    <row r="59" spans="1:23">
      <c r="A59" s="8" t="s">
        <v>8</v>
      </c>
      <c r="B59" s="27" t="s">
        <v>86</v>
      </c>
      <c r="C59" s="28"/>
      <c r="D59" s="13">
        <f>SUM(D60,D61)</f>
        <v>0</v>
      </c>
      <c r="E59" s="13">
        <f>SUM(E60,E61)</f>
        <v>0</v>
      </c>
      <c r="F59" s="13">
        <f>SUM(F60,F61)</f>
        <v>0</v>
      </c>
      <c r="G59" s="13">
        <f>SUM(G60,G61)</f>
        <v>0</v>
      </c>
      <c r="H59" s="14">
        <f t="shared" si="1"/>
        <v>0</v>
      </c>
      <c r="I59" s="13">
        <f>SUM(I60,I61)</f>
        <v>0</v>
      </c>
      <c r="J59" s="13">
        <f>SUM(J60,J61)</f>
        <v>0</v>
      </c>
      <c r="K59" s="13">
        <f>SUM(K60,K61)</f>
        <v>0</v>
      </c>
      <c r="L59" s="13">
        <f>SUM(L60,L61)</f>
        <v>0</v>
      </c>
      <c r="M59" s="19">
        <f t="shared" si="2"/>
        <v>0</v>
      </c>
      <c r="N59" s="13">
        <f>SUM(N60,N61)</f>
        <v>0</v>
      </c>
      <c r="O59" s="13">
        <f>SUM(O60,O61)</f>
        <v>0</v>
      </c>
      <c r="P59" s="13">
        <f>SUM(P60,P61)</f>
        <v>0</v>
      </c>
      <c r="Q59" s="13">
        <f>SUM(Q60,Q61)</f>
        <v>0</v>
      </c>
      <c r="R59" s="14">
        <f t="shared" si="3"/>
        <v>0</v>
      </c>
      <c r="S59" s="13">
        <f>SUM(S60,S61)</f>
        <v>0</v>
      </c>
      <c r="T59" s="13">
        <f>SUM(T60,T61)</f>
        <v>0</v>
      </c>
      <c r="U59" s="13">
        <f>SUM(U60,U61)</f>
        <v>0</v>
      </c>
      <c r="V59" s="13">
        <f>SUM(V60,V61)</f>
        <v>0</v>
      </c>
      <c r="W59" s="14">
        <f t="shared" si="4"/>
        <v>0</v>
      </c>
    </row>
    <row r="60" spans="1:23">
      <c r="A60" s="9"/>
      <c r="B60" s="9" t="s">
        <v>14</v>
      </c>
      <c r="C60" s="9" t="s">
        <v>87</v>
      </c>
      <c r="D60" s="15"/>
      <c r="E60" s="16"/>
      <c r="F60" s="16"/>
      <c r="G60" s="16"/>
      <c r="H60" s="14">
        <f t="shared" si="1"/>
        <v>0</v>
      </c>
      <c r="I60" s="16"/>
      <c r="J60" s="16"/>
      <c r="K60" s="16"/>
      <c r="L60" s="16"/>
      <c r="M60" s="19">
        <f t="shared" si="2"/>
        <v>0</v>
      </c>
      <c r="N60" s="16"/>
      <c r="O60" s="16"/>
      <c r="P60" s="16"/>
      <c r="Q60" s="16"/>
      <c r="R60" s="14">
        <f t="shared" si="3"/>
        <v>0</v>
      </c>
      <c r="S60" s="16"/>
      <c r="T60" s="16"/>
      <c r="U60" s="16"/>
      <c r="V60" s="16"/>
      <c r="W60" s="14">
        <f t="shared" si="4"/>
        <v>0</v>
      </c>
    </row>
    <row r="61" spans="1:23">
      <c r="A61" s="9"/>
      <c r="B61" s="9" t="s">
        <v>23</v>
      </c>
      <c r="C61" s="9" t="s">
        <v>88</v>
      </c>
      <c r="D61" s="15"/>
      <c r="E61" s="15"/>
      <c r="F61" s="15"/>
      <c r="G61" s="15"/>
      <c r="H61" s="14">
        <f t="shared" si="1"/>
        <v>0</v>
      </c>
      <c r="I61" s="15"/>
      <c r="J61" s="15"/>
      <c r="K61" s="15"/>
      <c r="L61" s="15"/>
      <c r="M61" s="19">
        <f t="shared" si="2"/>
        <v>0</v>
      </c>
      <c r="N61" s="15"/>
      <c r="O61" s="15"/>
      <c r="P61" s="15"/>
      <c r="Q61" s="15"/>
      <c r="R61" s="14">
        <f t="shared" si="3"/>
        <v>0</v>
      </c>
      <c r="S61" s="15"/>
      <c r="T61" s="15"/>
      <c r="U61" s="15"/>
      <c r="V61" s="15"/>
      <c r="W61" s="14">
        <f t="shared" si="4"/>
        <v>0</v>
      </c>
    </row>
    <row r="62" spans="1:23">
      <c r="A62" s="8" t="s">
        <v>89</v>
      </c>
      <c r="B62" s="27" t="s">
        <v>90</v>
      </c>
      <c r="C62" s="28"/>
      <c r="D62" s="13"/>
      <c r="E62" s="13"/>
      <c r="F62" s="13"/>
      <c r="G62" s="13"/>
      <c r="H62" s="14">
        <f t="shared" si="1"/>
        <v>0</v>
      </c>
      <c r="I62" s="13"/>
      <c r="J62" s="13"/>
      <c r="K62" s="13"/>
      <c r="L62" s="13"/>
      <c r="M62" s="14">
        <f t="shared" si="2"/>
        <v>0</v>
      </c>
      <c r="N62" s="13"/>
      <c r="O62" s="13"/>
      <c r="P62" s="13"/>
      <c r="Q62" s="13"/>
      <c r="R62" s="14">
        <f t="shared" si="3"/>
        <v>0</v>
      </c>
      <c r="S62" s="13"/>
      <c r="T62" s="13"/>
      <c r="U62" s="13"/>
      <c r="V62" s="13"/>
      <c r="W62" s="14">
        <f t="shared" si="4"/>
        <v>0</v>
      </c>
    </row>
    <row r="63" spans="1:23">
      <c r="A63" s="8" t="s">
        <v>91</v>
      </c>
      <c r="B63" s="27" t="s">
        <v>92</v>
      </c>
      <c r="C63" s="28"/>
      <c r="D63" s="13">
        <f>SUM(D64,D65,D66,D67)</f>
        <v>0</v>
      </c>
      <c r="E63" s="13">
        <f>SUM(E64,E65,E66,E67)</f>
        <v>0</v>
      </c>
      <c r="F63" s="13">
        <f>SUM(F64,F65,F66,F67)</f>
        <v>0</v>
      </c>
      <c r="G63" s="13">
        <f>SUM(G64,G65,G66,G67)</f>
        <v>0</v>
      </c>
      <c r="H63" s="14">
        <f t="shared" si="1"/>
        <v>0</v>
      </c>
      <c r="I63" s="13">
        <f>SUM(I64,I65,I66,I67)</f>
        <v>0</v>
      </c>
      <c r="J63" s="13">
        <f>SUM(J64,J65,J66,J67)</f>
        <v>0</v>
      </c>
      <c r="K63" s="13">
        <f>SUM(K64,K65,K66,K67)</f>
        <v>0</v>
      </c>
      <c r="L63" s="13">
        <f>SUM(L64,L65,L66,L67)</f>
        <v>0</v>
      </c>
      <c r="M63" s="14">
        <f t="shared" si="2"/>
        <v>0</v>
      </c>
      <c r="N63" s="13">
        <f>SUM(N64,N65,N66,N67)</f>
        <v>0</v>
      </c>
      <c r="O63" s="13">
        <f>SUM(O64,O65,O66,O67)</f>
        <v>0</v>
      </c>
      <c r="P63" s="13">
        <f>SUM(P64,P65,P66,P67)</f>
        <v>0</v>
      </c>
      <c r="Q63" s="13">
        <f>SUM(Q64,Q65,Q66,Q67)</f>
        <v>0</v>
      </c>
      <c r="R63" s="14">
        <f t="shared" si="3"/>
        <v>0</v>
      </c>
      <c r="S63" s="13">
        <f>SUM(S64,S65,S66,S67)</f>
        <v>0</v>
      </c>
      <c r="T63" s="13">
        <f>SUM(T64,T65,T66,T67)</f>
        <v>0</v>
      </c>
      <c r="U63" s="13">
        <f>SUM(U64,U65,U66,U67)</f>
        <v>0</v>
      </c>
      <c r="V63" s="13">
        <f>SUM(V64,V65,V66,V67)</f>
        <v>0</v>
      </c>
      <c r="W63" s="14">
        <f t="shared" si="4"/>
        <v>0</v>
      </c>
    </row>
    <row r="64" spans="1:23">
      <c r="A64" s="9"/>
      <c r="B64" s="9" t="s">
        <v>14</v>
      </c>
      <c r="C64" s="9" t="s">
        <v>93</v>
      </c>
      <c r="D64" s="15"/>
      <c r="E64" s="15"/>
      <c r="F64" s="15"/>
      <c r="G64" s="15"/>
      <c r="H64" s="14">
        <f t="shared" si="1"/>
        <v>0</v>
      </c>
      <c r="I64" s="15"/>
      <c r="J64" s="15"/>
      <c r="K64" s="15"/>
      <c r="L64" s="15"/>
      <c r="M64" s="14">
        <f t="shared" si="2"/>
        <v>0</v>
      </c>
      <c r="N64" s="15"/>
      <c r="O64" s="15"/>
      <c r="P64" s="15"/>
      <c r="Q64" s="15"/>
      <c r="R64" s="14">
        <f t="shared" si="3"/>
        <v>0</v>
      </c>
      <c r="S64" s="15"/>
      <c r="T64" s="15"/>
      <c r="U64" s="15"/>
      <c r="V64" s="15"/>
      <c r="W64" s="14">
        <f t="shared" si="4"/>
        <v>0</v>
      </c>
    </row>
    <row r="65" spans="1:23">
      <c r="A65" s="9"/>
      <c r="B65" s="9" t="s">
        <v>23</v>
      </c>
      <c r="C65" s="9" t="s">
        <v>94</v>
      </c>
      <c r="D65" s="15"/>
      <c r="E65" s="15"/>
      <c r="F65" s="15"/>
      <c r="G65" s="15"/>
      <c r="H65" s="14">
        <f t="shared" si="1"/>
        <v>0</v>
      </c>
      <c r="I65" s="15"/>
      <c r="J65" s="15"/>
      <c r="K65" s="15"/>
      <c r="L65" s="15"/>
      <c r="M65" s="14">
        <f t="shared" si="2"/>
        <v>0</v>
      </c>
      <c r="N65" s="15"/>
      <c r="O65" s="15"/>
      <c r="P65" s="15"/>
      <c r="Q65" s="15"/>
      <c r="R65" s="14">
        <f t="shared" si="3"/>
        <v>0</v>
      </c>
      <c r="S65" s="15"/>
      <c r="T65" s="15"/>
      <c r="U65" s="15"/>
      <c r="V65" s="15"/>
      <c r="W65" s="14">
        <f t="shared" si="4"/>
        <v>0</v>
      </c>
    </row>
    <row r="66" spans="1:23">
      <c r="A66" s="9"/>
      <c r="B66" s="9" t="s">
        <v>25</v>
      </c>
      <c r="C66" s="9" t="s">
        <v>95</v>
      </c>
      <c r="D66" s="15"/>
      <c r="E66" s="15"/>
      <c r="F66" s="15"/>
      <c r="G66" s="15"/>
      <c r="H66" s="14">
        <f t="shared" si="1"/>
        <v>0</v>
      </c>
      <c r="I66" s="15"/>
      <c r="J66" s="15"/>
      <c r="K66" s="15"/>
      <c r="L66" s="15"/>
      <c r="M66" s="14">
        <f t="shared" si="2"/>
        <v>0</v>
      </c>
      <c r="N66" s="15"/>
      <c r="O66" s="15"/>
      <c r="P66" s="15"/>
      <c r="Q66" s="15"/>
      <c r="R66" s="14">
        <f t="shared" si="3"/>
        <v>0</v>
      </c>
      <c r="S66" s="15"/>
      <c r="T66" s="15"/>
      <c r="U66" s="15"/>
      <c r="V66" s="15"/>
      <c r="W66" s="14">
        <f t="shared" si="4"/>
        <v>0</v>
      </c>
    </row>
    <row r="67" spans="1:23">
      <c r="A67" s="9"/>
      <c r="B67" s="9" t="s">
        <v>32</v>
      </c>
      <c r="C67" s="9" t="s">
        <v>96</v>
      </c>
      <c r="D67" s="15"/>
      <c r="E67" s="15"/>
      <c r="F67" s="15"/>
      <c r="G67" s="15"/>
      <c r="H67" s="14">
        <f t="shared" si="1"/>
        <v>0</v>
      </c>
      <c r="I67" s="15"/>
      <c r="J67" s="15"/>
      <c r="K67" s="15"/>
      <c r="L67" s="15"/>
      <c r="M67" s="14">
        <f t="shared" si="2"/>
        <v>0</v>
      </c>
      <c r="N67" s="15"/>
      <c r="O67" s="15"/>
      <c r="P67" s="15"/>
      <c r="Q67" s="15"/>
      <c r="R67" s="14">
        <f t="shared" si="3"/>
        <v>0</v>
      </c>
      <c r="S67" s="15"/>
      <c r="T67" s="15"/>
      <c r="U67" s="15"/>
      <c r="V67" s="15"/>
      <c r="W67" s="14">
        <f t="shared" si="4"/>
        <v>0</v>
      </c>
    </row>
    <row r="68" spans="1:23">
      <c r="A68" s="8" t="s">
        <v>97</v>
      </c>
      <c r="B68" s="27" t="s">
        <v>98</v>
      </c>
      <c r="C68" s="28"/>
      <c r="D68" s="13"/>
      <c r="E68" s="13"/>
      <c r="F68" s="13"/>
      <c r="G68" s="13"/>
      <c r="H68" s="14">
        <f t="shared" si="1"/>
        <v>0</v>
      </c>
      <c r="I68" s="13"/>
      <c r="J68" s="13"/>
      <c r="K68" s="13"/>
      <c r="L68" s="13"/>
      <c r="M68" s="14">
        <f t="shared" si="2"/>
        <v>0</v>
      </c>
      <c r="N68" s="13"/>
      <c r="O68" s="13"/>
      <c r="P68" s="13"/>
      <c r="Q68" s="13"/>
      <c r="R68" s="14">
        <f t="shared" si="3"/>
        <v>0</v>
      </c>
      <c r="S68" s="13"/>
      <c r="T68" s="13"/>
      <c r="U68" s="13"/>
      <c r="V68" s="13"/>
      <c r="W68" s="14">
        <f t="shared" si="4"/>
        <v>0</v>
      </c>
    </row>
    <row r="69" spans="1:23">
      <c r="A69" s="8" t="s">
        <v>99</v>
      </c>
      <c r="B69" s="27" t="s">
        <v>100</v>
      </c>
      <c r="C69" s="28"/>
      <c r="D69" s="13"/>
      <c r="E69" s="13"/>
      <c r="F69" s="13"/>
      <c r="G69" s="13"/>
      <c r="H69" s="14">
        <f t="shared" si="1"/>
        <v>0</v>
      </c>
      <c r="I69" s="13"/>
      <c r="J69" s="13"/>
      <c r="K69" s="13"/>
      <c r="L69" s="13"/>
      <c r="M69" s="14">
        <f t="shared" si="2"/>
        <v>0</v>
      </c>
      <c r="N69" s="13"/>
      <c r="O69" s="13"/>
      <c r="P69" s="13"/>
      <c r="Q69" s="13"/>
      <c r="R69" s="14">
        <f t="shared" si="3"/>
        <v>0</v>
      </c>
      <c r="S69" s="13"/>
      <c r="T69" s="13"/>
      <c r="U69" s="13"/>
      <c r="V69" s="13"/>
      <c r="W69" s="14">
        <f t="shared" si="4"/>
        <v>0</v>
      </c>
    </row>
    <row r="70" spans="1:23">
      <c r="A70" s="8" t="s">
        <v>101</v>
      </c>
      <c r="B70" s="27" t="s">
        <v>102</v>
      </c>
      <c r="C70" s="28"/>
      <c r="D70" s="13"/>
      <c r="E70" s="13"/>
      <c r="F70" s="13"/>
      <c r="G70" s="13"/>
      <c r="H70" s="14">
        <f t="shared" si="1"/>
        <v>0</v>
      </c>
      <c r="I70" s="13"/>
      <c r="J70" s="13"/>
      <c r="K70" s="13"/>
      <c r="L70" s="13"/>
      <c r="M70" s="14">
        <f t="shared" si="2"/>
        <v>0</v>
      </c>
      <c r="N70" s="13"/>
      <c r="O70" s="13"/>
      <c r="P70" s="13"/>
      <c r="Q70" s="13"/>
      <c r="R70" s="14">
        <f t="shared" si="3"/>
        <v>0</v>
      </c>
      <c r="S70" s="13"/>
      <c r="T70" s="13"/>
      <c r="U70" s="13"/>
      <c r="V70" s="13"/>
      <c r="W70" s="14">
        <f t="shared" si="4"/>
        <v>0</v>
      </c>
    </row>
    <row r="71" spans="1:23">
      <c r="A71" s="8" t="s">
        <v>103</v>
      </c>
      <c r="B71" s="27" t="s">
        <v>104</v>
      </c>
      <c r="C71" s="27"/>
      <c r="D71" s="20"/>
      <c r="E71" s="13"/>
      <c r="F71" s="13"/>
      <c r="G71" s="13"/>
      <c r="H71" s="14">
        <f t="shared" si="1"/>
        <v>0</v>
      </c>
      <c r="I71" s="13"/>
      <c r="J71" s="13"/>
      <c r="K71" s="13"/>
      <c r="L71" s="13"/>
      <c r="M71" s="14">
        <f t="shared" si="2"/>
        <v>0</v>
      </c>
      <c r="N71" s="13"/>
      <c r="O71" s="13"/>
      <c r="P71" s="13"/>
      <c r="Q71" s="13"/>
      <c r="R71" s="14">
        <f t="shared" si="3"/>
        <v>0</v>
      </c>
      <c r="S71" s="13"/>
      <c r="T71" s="13"/>
      <c r="U71" s="13"/>
      <c r="V71" s="13"/>
      <c r="W71" s="14">
        <f t="shared" si="4"/>
        <v>0</v>
      </c>
    </row>
    <row r="72" spans="1:23">
      <c r="A72" s="8" t="s">
        <v>105</v>
      </c>
      <c r="B72" s="27" t="s">
        <v>106</v>
      </c>
      <c r="C72" s="27"/>
      <c r="D72" s="20"/>
      <c r="E72" s="13"/>
      <c r="F72" s="13"/>
      <c r="G72" s="13"/>
      <c r="H72" s="14">
        <f t="shared" si="1"/>
        <v>0</v>
      </c>
      <c r="I72" s="13"/>
      <c r="J72" s="13"/>
      <c r="K72" s="13"/>
      <c r="L72" s="13"/>
      <c r="M72" s="14">
        <f t="shared" si="2"/>
        <v>0</v>
      </c>
      <c r="N72" s="13"/>
      <c r="O72" s="13"/>
      <c r="P72" s="13"/>
      <c r="Q72" s="13"/>
      <c r="R72" s="14">
        <f t="shared" si="3"/>
        <v>0</v>
      </c>
      <c r="S72" s="13"/>
      <c r="T72" s="13"/>
      <c r="U72" s="13"/>
      <c r="V72" s="13"/>
      <c r="W72" s="14">
        <f t="shared" si="4"/>
        <v>0</v>
      </c>
    </row>
    <row r="73" spans="1:23">
      <c r="A73" s="8" t="s">
        <v>107</v>
      </c>
      <c r="B73" s="27" t="s">
        <v>108</v>
      </c>
      <c r="C73" s="27"/>
      <c r="D73" s="20"/>
      <c r="E73" s="13"/>
      <c r="F73" s="13"/>
      <c r="G73" s="13"/>
      <c r="H73" s="14">
        <f t="shared" ref="H73:H75" si="5">SUM(D73:G73)</f>
        <v>0</v>
      </c>
      <c r="I73" s="13"/>
      <c r="J73" s="13"/>
      <c r="K73" s="13"/>
      <c r="L73" s="13"/>
      <c r="M73" s="14">
        <f t="shared" ref="M73:M75" si="6">SUM(I73:L73)</f>
        <v>0</v>
      </c>
      <c r="N73" s="13"/>
      <c r="O73" s="13"/>
      <c r="P73" s="13"/>
      <c r="Q73" s="13"/>
      <c r="R73" s="14">
        <f t="shared" ref="R73:R75" si="7">SUM(N73:Q73)</f>
        <v>0</v>
      </c>
      <c r="S73" s="13"/>
      <c r="T73" s="13"/>
      <c r="U73" s="13"/>
      <c r="V73" s="13"/>
      <c r="W73" s="14">
        <f t="shared" ref="W73:W75" si="8">SUM(S73:V73)</f>
        <v>0</v>
      </c>
    </row>
    <row r="74" spans="1:23">
      <c r="A74" s="34" t="s">
        <v>109</v>
      </c>
      <c r="B74" s="34"/>
      <c r="C74" s="34"/>
      <c r="D74" s="21">
        <f>SUM(D9,D20,D25,D44,D47,D48,D49,D52,D59,D62,D63,D68,D69,D70,D71,D72,D73)</f>
        <v>0</v>
      </c>
      <c r="E74" s="21">
        <f>SUM(E9,E20,E25,E44,E47,E48,E49,E52,E59,E62,E63,E68,E69,E70,E71,E72,E73)</f>
        <v>0</v>
      </c>
      <c r="F74" s="21">
        <f>SUM(F9,F20,F25,F44,F47,F48,F49,F52,F59,F62,F63,F68,F69,F70,F71,F72,F73)</f>
        <v>0</v>
      </c>
      <c r="G74" s="21">
        <f>SUM(G9,G20,G25,G44,G47,G48,G49,G52,G59,G62,G63,G68,G69,G70,G71,G72,G73)</f>
        <v>0</v>
      </c>
      <c r="H74" s="21">
        <f t="shared" si="5"/>
        <v>0</v>
      </c>
      <c r="I74" s="21">
        <f>SUM(I9,I20,I25,I44,I47,I48,I49,I52,I59,I62,I63,I68,I69,I70,I71,I72,I73)</f>
        <v>0</v>
      </c>
      <c r="J74" s="21">
        <f>SUM(J9,J20,J25,J44,J47,J48,J49,J52,J59,J62,J63,J68,J69,J70,J71,J72,J73)</f>
        <v>0</v>
      </c>
      <c r="K74" s="21">
        <f>SUM(K9,K20,K25,K44,K47,K48,K49,K52,K59,K62,K63,K68,K69,K70,K71,K72,K73)</f>
        <v>0</v>
      </c>
      <c r="L74" s="21">
        <f>SUM(L9,L20,L25,L44,L47,L48,L49,L52,L59,L62,L63,L68,L69,L70,L71,L72,L73)</f>
        <v>0</v>
      </c>
      <c r="M74" s="21">
        <f t="shared" si="6"/>
        <v>0</v>
      </c>
      <c r="N74" s="21">
        <f>SUM(N9,N20,N25,N44,N47,N48,N49,N52,N59,N62,N63,N68,N69,N70,N71,N72,N73)</f>
        <v>0</v>
      </c>
      <c r="O74" s="21">
        <f>SUM(O9,O20,O25,O44,O47,O48,O49,O52,O59,O62,O63,O68,O69,O70,O71,O72,O73)</f>
        <v>0</v>
      </c>
      <c r="P74" s="21">
        <f>SUM(P9,P20,P25,P44,P47,P48,P49,P52,P59,P62,P63,P68,P69,P70,P71,P72,P73)</f>
        <v>0</v>
      </c>
      <c r="Q74" s="21">
        <f>SUM(Q9,Q20,Q25,Q44,Q47,Q48,Q49,Q52,Q59,Q62,Q63,Q68,Q69,Q70,Q71,Q72,Q73)</f>
        <v>0</v>
      </c>
      <c r="R74" s="21">
        <f t="shared" si="7"/>
        <v>0</v>
      </c>
      <c r="S74" s="21">
        <f>SUM(S9,S20,S25,S44,S47,S48,S49,S52,S59,S62,S63,S68,S69,S70,S71,S72,S73)</f>
        <v>0</v>
      </c>
      <c r="T74" s="21">
        <f>SUM(T9,T20,T25,T44,T47,T48,T49,T52,T59,T62,T63,T68,T69,T70,T71,T72,T73)</f>
        <v>0</v>
      </c>
      <c r="U74" s="21">
        <f>SUM(U9,U20,U25,U44,U47,U48,U49,U52,U59,U62,U63,U68,U69,U70,U71,U72,U73)</f>
        <v>0</v>
      </c>
      <c r="V74" s="21">
        <f>SUM(V9,V20,V25,V44,V47,V48,V49,V52,V59,V62,V63,V68,V69,V70,V71,V72,V73)</f>
        <v>0</v>
      </c>
      <c r="W74" s="21">
        <f>SUM(S74:V74)</f>
        <v>0</v>
      </c>
    </row>
    <row r="75" spans="1:23">
      <c r="A75" s="34" t="s">
        <v>110</v>
      </c>
      <c r="B75" s="34"/>
      <c r="C75" s="34"/>
      <c r="D75" s="21">
        <f>D74-D21-D28</f>
        <v>0</v>
      </c>
      <c r="E75" s="21">
        <f>E74-E21-E28</f>
        <v>0</v>
      </c>
      <c r="F75" s="21">
        <f>F74-F21-F28</f>
        <v>0</v>
      </c>
      <c r="G75" s="21">
        <f>G74-G21-G28</f>
        <v>0</v>
      </c>
      <c r="H75" s="21">
        <f t="shared" si="5"/>
        <v>0</v>
      </c>
      <c r="I75" s="21">
        <f>I74-I21-I28</f>
        <v>0</v>
      </c>
      <c r="J75" s="21">
        <f>J74-J21-J28</f>
        <v>0</v>
      </c>
      <c r="K75" s="21">
        <f>K74-K21-K28</f>
        <v>0</v>
      </c>
      <c r="L75" s="21">
        <f>L74-L21-L28</f>
        <v>0</v>
      </c>
      <c r="M75" s="21">
        <f t="shared" si="6"/>
        <v>0</v>
      </c>
      <c r="N75" s="21">
        <f>N74-N21-N28</f>
        <v>0</v>
      </c>
      <c r="O75" s="21">
        <f>O74-O21-O28</f>
        <v>0</v>
      </c>
      <c r="P75" s="21">
        <f>P74-P21-P28</f>
        <v>0</v>
      </c>
      <c r="Q75" s="21">
        <f>Q74-Q21-Q28</f>
        <v>0</v>
      </c>
      <c r="R75" s="21">
        <f t="shared" si="7"/>
        <v>0</v>
      </c>
      <c r="S75" s="21">
        <f>S74-S21-S28</f>
        <v>0</v>
      </c>
      <c r="T75" s="21">
        <f>T74-T21-T28</f>
        <v>0</v>
      </c>
      <c r="U75" s="21">
        <f>U74-U21-U28</f>
        <v>0</v>
      </c>
      <c r="V75" s="21">
        <f>V74-V21-V28</f>
        <v>0</v>
      </c>
      <c r="W75" s="21">
        <f t="shared" si="8"/>
        <v>0</v>
      </c>
    </row>
    <row r="76" spans="1:23">
      <c r="A76" s="1"/>
      <c r="B76" s="1"/>
      <c r="C76" s="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>
      <c r="A77" s="1"/>
      <c r="B77" s="1"/>
      <c r="C77" s="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5">
      <c r="A78" s="29" t="s">
        <v>111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spans="1:23" ht="15">
      <c r="A79" s="30" t="s">
        <v>1</v>
      </c>
      <c r="B79" s="3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">
      <c r="A81" s="31" t="s">
        <v>2</v>
      </c>
      <c r="B81" s="32" t="s">
        <v>3</v>
      </c>
      <c r="C81" s="32"/>
      <c r="D81" s="33" t="s">
        <v>4</v>
      </c>
      <c r="E81" s="33"/>
      <c r="F81" s="33"/>
      <c r="G81" s="33"/>
      <c r="H81" s="33"/>
      <c r="I81" s="33" t="s">
        <v>5</v>
      </c>
      <c r="J81" s="33"/>
      <c r="K81" s="33"/>
      <c r="L81" s="33"/>
      <c r="M81" s="33"/>
      <c r="N81" s="33" t="s">
        <v>6</v>
      </c>
      <c r="O81" s="33"/>
      <c r="P81" s="33"/>
      <c r="Q81" s="33"/>
      <c r="R81" s="33"/>
      <c r="S81" s="33" t="s">
        <v>7</v>
      </c>
      <c r="T81" s="33"/>
      <c r="U81" s="33"/>
      <c r="V81" s="33"/>
      <c r="W81" s="33"/>
    </row>
    <row r="82" spans="1:23" ht="15">
      <c r="A82" s="31"/>
      <c r="B82" s="32"/>
      <c r="C82" s="32"/>
      <c r="D82" s="3" t="s">
        <v>8</v>
      </c>
      <c r="E82" s="3" t="s">
        <v>9</v>
      </c>
      <c r="F82" s="3" t="s">
        <v>10</v>
      </c>
      <c r="G82" s="3" t="s">
        <v>11</v>
      </c>
      <c r="H82" s="3" t="s">
        <v>128</v>
      </c>
      <c r="I82" s="3" t="s">
        <v>8</v>
      </c>
      <c r="J82" s="3" t="s">
        <v>9</v>
      </c>
      <c r="K82" s="3" t="s">
        <v>10</v>
      </c>
      <c r="L82" s="3" t="s">
        <v>11</v>
      </c>
      <c r="M82" s="3" t="s">
        <v>128</v>
      </c>
      <c r="N82" s="3" t="s">
        <v>8</v>
      </c>
      <c r="O82" s="3" t="s">
        <v>9</v>
      </c>
      <c r="P82" s="3" t="s">
        <v>10</v>
      </c>
      <c r="Q82" s="3" t="s">
        <v>11</v>
      </c>
      <c r="R82" s="3" t="s">
        <v>128</v>
      </c>
      <c r="S82" s="3" t="s">
        <v>8</v>
      </c>
      <c r="T82" s="3" t="s">
        <v>9</v>
      </c>
      <c r="U82" s="3" t="s">
        <v>10</v>
      </c>
      <c r="V82" s="3" t="s">
        <v>11</v>
      </c>
      <c r="W82" s="3" t="s">
        <v>128</v>
      </c>
    </row>
    <row r="83" spans="1:23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6"/>
      <c r="N83" s="1"/>
      <c r="O83" s="1"/>
      <c r="P83" s="1"/>
      <c r="Q83" s="1"/>
      <c r="R83" s="6"/>
      <c r="S83" s="1"/>
      <c r="T83" s="1"/>
      <c r="U83" s="1"/>
      <c r="V83" s="1"/>
      <c r="W83" s="6"/>
    </row>
    <row r="84" spans="1:23">
      <c r="A84" s="4" t="s">
        <v>14</v>
      </c>
      <c r="B84" s="11"/>
      <c r="C84" s="4">
        <f>A84+1</f>
        <v>2</v>
      </c>
      <c r="D84" s="4">
        <f>C84+1</f>
        <v>3</v>
      </c>
      <c r="E84" s="4">
        <f t="shared" ref="E84:W84" si="9">D84+1</f>
        <v>4</v>
      </c>
      <c r="F84" s="4">
        <f t="shared" si="9"/>
        <v>5</v>
      </c>
      <c r="G84" s="4">
        <f t="shared" si="9"/>
        <v>6</v>
      </c>
      <c r="H84" s="7">
        <f t="shared" si="9"/>
        <v>7</v>
      </c>
      <c r="I84" s="4">
        <f t="shared" si="9"/>
        <v>8</v>
      </c>
      <c r="J84" s="4">
        <f t="shared" si="9"/>
        <v>9</v>
      </c>
      <c r="K84" s="4">
        <f t="shared" si="9"/>
        <v>10</v>
      </c>
      <c r="L84" s="4">
        <f t="shared" si="9"/>
        <v>11</v>
      </c>
      <c r="M84" s="7">
        <f t="shared" si="9"/>
        <v>12</v>
      </c>
      <c r="N84" s="4">
        <f t="shared" si="9"/>
        <v>13</v>
      </c>
      <c r="O84" s="4">
        <f t="shared" si="9"/>
        <v>14</v>
      </c>
      <c r="P84" s="4">
        <f t="shared" si="9"/>
        <v>15</v>
      </c>
      <c r="Q84" s="4">
        <f t="shared" si="9"/>
        <v>16</v>
      </c>
      <c r="R84" s="7">
        <f t="shared" si="9"/>
        <v>17</v>
      </c>
      <c r="S84" s="4">
        <f t="shared" si="9"/>
        <v>18</v>
      </c>
      <c r="T84" s="4">
        <f t="shared" si="9"/>
        <v>19</v>
      </c>
      <c r="U84" s="4">
        <f t="shared" si="9"/>
        <v>20</v>
      </c>
      <c r="V84" s="4">
        <f t="shared" si="9"/>
        <v>21</v>
      </c>
      <c r="W84" s="7">
        <f t="shared" si="9"/>
        <v>22</v>
      </c>
    </row>
    <row r="85" spans="1:23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6"/>
      <c r="N85" s="1"/>
      <c r="O85" s="1"/>
      <c r="P85" s="1"/>
      <c r="Q85" s="1"/>
      <c r="R85" s="6"/>
      <c r="S85" s="1"/>
      <c r="T85" s="1"/>
      <c r="U85" s="1"/>
      <c r="V85" s="1"/>
      <c r="W85" s="6"/>
    </row>
    <row r="86" spans="1:23">
      <c r="A86" s="8" t="s">
        <v>12</v>
      </c>
      <c r="B86" s="27" t="s">
        <v>13</v>
      </c>
      <c r="C86" s="28"/>
      <c r="D86" s="13">
        <f>SUM(D87,D95,D96)</f>
        <v>0</v>
      </c>
      <c r="E86" s="13">
        <f>SUM(E87,E95,E96)</f>
        <v>0</v>
      </c>
      <c r="F86" s="13">
        <f>SUM(F87,F95,F96)</f>
        <v>0</v>
      </c>
      <c r="G86" s="13">
        <f>SUM(G87,G95,G96)</f>
        <v>0</v>
      </c>
      <c r="H86" s="14">
        <f t="shared" ref="H86:H149" si="10">SUM(D86:G86)</f>
        <v>0</v>
      </c>
      <c r="I86" s="13">
        <f>SUM(I87,I95,I96)</f>
        <v>0</v>
      </c>
      <c r="J86" s="13">
        <f>SUM(J87,J95,J96)</f>
        <v>0</v>
      </c>
      <c r="K86" s="13">
        <f>SUM(K87,K95,K96)</f>
        <v>0</v>
      </c>
      <c r="L86" s="13">
        <f>SUM(L87,L95,L96)</f>
        <v>0</v>
      </c>
      <c r="M86" s="14">
        <f t="shared" ref="M86:M149" si="11">SUM(I86:L86)</f>
        <v>0</v>
      </c>
      <c r="N86" s="13">
        <f>SUM(N87,N95,N96)</f>
        <v>0</v>
      </c>
      <c r="O86" s="13">
        <f>SUM(O87,O95,O96)</f>
        <v>0</v>
      </c>
      <c r="P86" s="13">
        <f>SUM(P87,P95,P96)</f>
        <v>0</v>
      </c>
      <c r="Q86" s="13">
        <f>SUM(Q87,Q95,Q96)</f>
        <v>0</v>
      </c>
      <c r="R86" s="14">
        <f t="shared" ref="R86:R149" si="12">SUM(N86:Q86)</f>
        <v>0</v>
      </c>
      <c r="S86" s="13">
        <f>SUM(S87,S95,S96)</f>
        <v>0</v>
      </c>
      <c r="T86" s="13">
        <f>SUM(T87,T95,T96)</f>
        <v>0</v>
      </c>
      <c r="U86" s="13">
        <f>SUM(U87,U95,U96)</f>
        <v>0</v>
      </c>
      <c r="V86" s="13">
        <f>SUM(V87,V95,V96)</f>
        <v>0</v>
      </c>
      <c r="W86" s="14">
        <f t="shared" ref="W86:W149" si="13">SUM(S86:V86)</f>
        <v>0</v>
      </c>
    </row>
    <row r="87" spans="1:23">
      <c r="A87" s="9"/>
      <c r="B87" s="9" t="s">
        <v>14</v>
      </c>
      <c r="C87" s="9" t="s">
        <v>15</v>
      </c>
      <c r="D87" s="15"/>
      <c r="E87" s="16"/>
      <c r="F87" s="16"/>
      <c r="G87" s="16"/>
      <c r="H87" s="17">
        <f t="shared" si="10"/>
        <v>0</v>
      </c>
      <c r="I87" s="16"/>
      <c r="J87" s="16"/>
      <c r="K87" s="16"/>
      <c r="L87" s="16"/>
      <c r="M87" s="17">
        <f t="shared" si="11"/>
        <v>0</v>
      </c>
      <c r="N87" s="16"/>
      <c r="O87" s="16"/>
      <c r="P87" s="16"/>
      <c r="Q87" s="16"/>
      <c r="R87" s="17">
        <f t="shared" si="12"/>
        <v>0</v>
      </c>
      <c r="S87" s="16"/>
      <c r="T87" s="16"/>
      <c r="U87" s="16"/>
      <c r="V87" s="16"/>
      <c r="W87" s="17">
        <f t="shared" si="13"/>
        <v>0</v>
      </c>
    </row>
    <row r="88" spans="1:23">
      <c r="A88" s="9"/>
      <c r="B88" s="9"/>
      <c r="C88" s="9" t="s">
        <v>16</v>
      </c>
      <c r="D88" s="15"/>
      <c r="E88" s="15"/>
      <c r="F88" s="15"/>
      <c r="G88" s="15"/>
      <c r="H88" s="14">
        <f t="shared" si="10"/>
        <v>0</v>
      </c>
      <c r="I88" s="15"/>
      <c r="J88" s="15"/>
      <c r="K88" s="15"/>
      <c r="L88" s="15"/>
      <c r="M88" s="14">
        <f t="shared" si="11"/>
        <v>0</v>
      </c>
      <c r="N88" s="15"/>
      <c r="O88" s="15"/>
      <c r="P88" s="15"/>
      <c r="Q88" s="15"/>
      <c r="R88" s="14">
        <f t="shared" si="12"/>
        <v>0</v>
      </c>
      <c r="S88" s="15"/>
      <c r="T88" s="15"/>
      <c r="U88" s="15"/>
      <c r="V88" s="15"/>
      <c r="W88" s="14">
        <f t="shared" si="13"/>
        <v>0</v>
      </c>
    </row>
    <row r="89" spans="1:23">
      <c r="A89" s="9"/>
      <c r="B89" s="9"/>
      <c r="C89" s="9" t="s">
        <v>17</v>
      </c>
      <c r="D89" s="15"/>
      <c r="E89" s="15"/>
      <c r="F89" s="15"/>
      <c r="G89" s="15"/>
      <c r="H89" s="14">
        <f t="shared" si="10"/>
        <v>0</v>
      </c>
      <c r="I89" s="15"/>
      <c r="J89" s="15"/>
      <c r="K89" s="15"/>
      <c r="L89" s="15"/>
      <c r="M89" s="14">
        <f t="shared" si="11"/>
        <v>0</v>
      </c>
      <c r="N89" s="15"/>
      <c r="O89" s="15"/>
      <c r="P89" s="15"/>
      <c r="Q89" s="15"/>
      <c r="R89" s="14">
        <f t="shared" si="12"/>
        <v>0</v>
      </c>
      <c r="S89" s="15"/>
      <c r="T89" s="15"/>
      <c r="U89" s="15"/>
      <c r="V89" s="15"/>
      <c r="W89" s="14">
        <f t="shared" si="13"/>
        <v>0</v>
      </c>
    </row>
    <row r="90" spans="1:23">
      <c r="A90" s="9"/>
      <c r="B90" s="9"/>
      <c r="C90" s="9" t="s">
        <v>18</v>
      </c>
      <c r="D90" s="15"/>
      <c r="E90" s="15"/>
      <c r="F90" s="15"/>
      <c r="G90" s="15"/>
      <c r="H90" s="14">
        <f t="shared" si="10"/>
        <v>0</v>
      </c>
      <c r="I90" s="15"/>
      <c r="J90" s="15"/>
      <c r="K90" s="15"/>
      <c r="L90" s="15"/>
      <c r="M90" s="14">
        <f t="shared" si="11"/>
        <v>0</v>
      </c>
      <c r="N90" s="15"/>
      <c r="O90" s="15"/>
      <c r="P90" s="15"/>
      <c r="Q90" s="15"/>
      <c r="R90" s="14">
        <f t="shared" si="12"/>
        <v>0</v>
      </c>
      <c r="S90" s="15"/>
      <c r="T90" s="15"/>
      <c r="U90" s="15"/>
      <c r="V90" s="15"/>
      <c r="W90" s="14">
        <f t="shared" si="13"/>
        <v>0</v>
      </c>
    </row>
    <row r="91" spans="1:23">
      <c r="A91" s="9"/>
      <c r="B91" s="9"/>
      <c r="C91" s="9" t="s">
        <v>19</v>
      </c>
      <c r="D91" s="15"/>
      <c r="E91" s="15"/>
      <c r="F91" s="15"/>
      <c r="G91" s="15"/>
      <c r="H91" s="14">
        <f t="shared" si="10"/>
        <v>0</v>
      </c>
      <c r="I91" s="15"/>
      <c r="J91" s="15"/>
      <c r="K91" s="15"/>
      <c r="L91" s="15"/>
      <c r="M91" s="14">
        <f t="shared" si="11"/>
        <v>0</v>
      </c>
      <c r="N91" s="15"/>
      <c r="O91" s="15"/>
      <c r="P91" s="15"/>
      <c r="Q91" s="15"/>
      <c r="R91" s="14">
        <f t="shared" si="12"/>
        <v>0</v>
      </c>
      <c r="S91" s="15"/>
      <c r="T91" s="15"/>
      <c r="U91" s="15"/>
      <c r="V91" s="15"/>
      <c r="W91" s="14">
        <f t="shared" si="13"/>
        <v>0</v>
      </c>
    </row>
    <row r="92" spans="1:23">
      <c r="A92" s="9"/>
      <c r="B92" s="9"/>
      <c r="C92" s="9" t="s">
        <v>20</v>
      </c>
      <c r="D92" s="15"/>
      <c r="E92" s="15"/>
      <c r="F92" s="15"/>
      <c r="G92" s="15"/>
      <c r="H92" s="14">
        <f t="shared" si="10"/>
        <v>0</v>
      </c>
      <c r="I92" s="15"/>
      <c r="J92" s="15"/>
      <c r="K92" s="15"/>
      <c r="L92" s="15"/>
      <c r="M92" s="14">
        <f t="shared" si="11"/>
        <v>0</v>
      </c>
      <c r="N92" s="15"/>
      <c r="O92" s="15"/>
      <c r="P92" s="15"/>
      <c r="Q92" s="15"/>
      <c r="R92" s="14">
        <f t="shared" si="12"/>
        <v>0</v>
      </c>
      <c r="S92" s="15"/>
      <c r="T92" s="15"/>
      <c r="U92" s="15"/>
      <c r="V92" s="15"/>
      <c r="W92" s="14">
        <f t="shared" si="13"/>
        <v>0</v>
      </c>
    </row>
    <row r="93" spans="1:23">
      <c r="A93" s="9"/>
      <c r="B93" s="9"/>
      <c r="C93" s="9" t="s">
        <v>21</v>
      </c>
      <c r="D93" s="15"/>
      <c r="E93" s="15"/>
      <c r="F93" s="15"/>
      <c r="G93" s="15"/>
      <c r="H93" s="14">
        <f t="shared" si="10"/>
        <v>0</v>
      </c>
      <c r="I93" s="15"/>
      <c r="J93" s="15"/>
      <c r="K93" s="15"/>
      <c r="L93" s="15"/>
      <c r="M93" s="14">
        <f t="shared" si="11"/>
        <v>0</v>
      </c>
      <c r="N93" s="15"/>
      <c r="O93" s="15"/>
      <c r="P93" s="15"/>
      <c r="Q93" s="15"/>
      <c r="R93" s="14">
        <f t="shared" si="12"/>
        <v>0</v>
      </c>
      <c r="S93" s="15"/>
      <c r="T93" s="15"/>
      <c r="U93" s="15"/>
      <c r="V93" s="15"/>
      <c r="W93" s="14">
        <f t="shared" si="13"/>
        <v>0</v>
      </c>
    </row>
    <row r="94" spans="1:23">
      <c r="A94" s="9"/>
      <c r="B94" s="9"/>
      <c r="C94" s="9" t="s">
        <v>22</v>
      </c>
      <c r="D94" s="15"/>
      <c r="E94" s="15"/>
      <c r="F94" s="15"/>
      <c r="G94" s="15"/>
      <c r="H94" s="14">
        <f t="shared" si="10"/>
        <v>0</v>
      </c>
      <c r="I94" s="15"/>
      <c r="J94" s="15"/>
      <c r="K94" s="15"/>
      <c r="L94" s="15"/>
      <c r="M94" s="14">
        <f t="shared" si="11"/>
        <v>0</v>
      </c>
      <c r="N94" s="15"/>
      <c r="O94" s="15"/>
      <c r="P94" s="15"/>
      <c r="Q94" s="15"/>
      <c r="R94" s="14">
        <f t="shared" si="12"/>
        <v>0</v>
      </c>
      <c r="S94" s="15"/>
      <c r="T94" s="15"/>
      <c r="U94" s="15"/>
      <c r="V94" s="15"/>
      <c r="W94" s="14">
        <f t="shared" si="13"/>
        <v>0</v>
      </c>
    </row>
    <row r="95" spans="1:23">
      <c r="A95" s="9"/>
      <c r="B95" s="9" t="s">
        <v>23</v>
      </c>
      <c r="C95" s="9" t="s">
        <v>24</v>
      </c>
      <c r="D95" s="15"/>
      <c r="E95" s="15"/>
      <c r="F95" s="15"/>
      <c r="G95" s="15"/>
      <c r="H95" s="14">
        <f t="shared" si="10"/>
        <v>0</v>
      </c>
      <c r="I95" s="15"/>
      <c r="J95" s="15"/>
      <c r="K95" s="15"/>
      <c r="L95" s="15"/>
      <c r="M95" s="14">
        <f t="shared" si="11"/>
        <v>0</v>
      </c>
      <c r="N95" s="15"/>
      <c r="O95" s="15"/>
      <c r="P95" s="15"/>
      <c r="Q95" s="15"/>
      <c r="R95" s="14">
        <f t="shared" si="12"/>
        <v>0</v>
      </c>
      <c r="S95" s="15"/>
      <c r="T95" s="15"/>
      <c r="U95" s="15"/>
      <c r="V95" s="15"/>
      <c r="W95" s="14">
        <f t="shared" si="13"/>
        <v>0</v>
      </c>
    </row>
    <row r="96" spans="1:23">
      <c r="A96" s="9"/>
      <c r="B96" s="9" t="s">
        <v>25</v>
      </c>
      <c r="C96" s="9" t="s">
        <v>26</v>
      </c>
      <c r="D96" s="15"/>
      <c r="E96" s="18"/>
      <c r="F96" s="18"/>
      <c r="G96" s="18"/>
      <c r="H96" s="19">
        <f t="shared" si="10"/>
        <v>0</v>
      </c>
      <c r="I96" s="18"/>
      <c r="J96" s="18"/>
      <c r="K96" s="18"/>
      <c r="L96" s="18"/>
      <c r="M96" s="19">
        <f t="shared" si="11"/>
        <v>0</v>
      </c>
      <c r="N96" s="18"/>
      <c r="O96" s="18"/>
      <c r="P96" s="18"/>
      <c r="Q96" s="18"/>
      <c r="R96" s="19">
        <f t="shared" si="12"/>
        <v>0</v>
      </c>
      <c r="S96" s="18"/>
      <c r="T96" s="18"/>
      <c r="U96" s="18"/>
      <c r="V96" s="18"/>
      <c r="W96" s="19">
        <f t="shared" si="13"/>
        <v>0</v>
      </c>
    </row>
    <row r="97" spans="1:23">
      <c r="A97" s="8" t="s">
        <v>27</v>
      </c>
      <c r="B97" s="27" t="s">
        <v>28</v>
      </c>
      <c r="C97" s="28"/>
      <c r="D97" s="13">
        <f>SUM(D98,D99,D100,D101)</f>
        <v>0</v>
      </c>
      <c r="E97" s="13">
        <f>SUM(E98,E99,E100,E101)</f>
        <v>0</v>
      </c>
      <c r="F97" s="13">
        <f>SUM(F98,F99,F100,F101)</f>
        <v>0</v>
      </c>
      <c r="G97" s="13">
        <f>SUM(G98,G99,G100,G101)</f>
        <v>0</v>
      </c>
      <c r="H97" s="14">
        <f t="shared" si="10"/>
        <v>0</v>
      </c>
      <c r="I97" s="13">
        <f>SUM(I98,I99,I100,I101)</f>
        <v>0</v>
      </c>
      <c r="J97" s="13">
        <f>SUM(J98,J99,J100,J101)</f>
        <v>0</v>
      </c>
      <c r="K97" s="13">
        <f>SUM(K98,K99,K100,K101)</f>
        <v>0</v>
      </c>
      <c r="L97" s="13">
        <f>SUM(L98,L99,L100,L101)</f>
        <v>0</v>
      </c>
      <c r="M97" s="14">
        <f t="shared" si="11"/>
        <v>0</v>
      </c>
      <c r="N97" s="13">
        <f>SUM(N98,N99,N100,N101)</f>
        <v>0</v>
      </c>
      <c r="O97" s="13">
        <f>SUM(O98,O99,O100,O101)</f>
        <v>0</v>
      </c>
      <c r="P97" s="13">
        <f>SUM(P98,P99,P100,P101)</f>
        <v>0</v>
      </c>
      <c r="Q97" s="13">
        <f>SUM(Q98,Q99,Q100,Q101)</f>
        <v>0</v>
      </c>
      <c r="R97" s="14">
        <f t="shared" si="12"/>
        <v>0</v>
      </c>
      <c r="S97" s="13">
        <f>SUM(S98,S99,S100,S101)</f>
        <v>0</v>
      </c>
      <c r="T97" s="13">
        <f>SUM(T98,T99,T100,T101)</f>
        <v>0</v>
      </c>
      <c r="U97" s="13">
        <f>SUM(U98,U99,U100,U101)</f>
        <v>0</v>
      </c>
      <c r="V97" s="13">
        <f>SUM(V98,V99,V100,V101)</f>
        <v>0</v>
      </c>
      <c r="W97" s="14">
        <f t="shared" si="13"/>
        <v>0</v>
      </c>
    </row>
    <row r="98" spans="1:23">
      <c r="A98" s="9"/>
      <c r="B98" s="9" t="s">
        <v>14</v>
      </c>
      <c r="C98" s="9" t="s">
        <v>29</v>
      </c>
      <c r="D98" s="15"/>
      <c r="E98" s="16"/>
      <c r="F98" s="16"/>
      <c r="G98" s="16"/>
      <c r="H98" s="17">
        <f t="shared" si="10"/>
        <v>0</v>
      </c>
      <c r="I98" s="16"/>
      <c r="J98" s="16"/>
      <c r="K98" s="16"/>
      <c r="L98" s="16"/>
      <c r="M98" s="17">
        <f t="shared" si="11"/>
        <v>0</v>
      </c>
      <c r="N98" s="16"/>
      <c r="O98" s="16"/>
      <c r="P98" s="16"/>
      <c r="Q98" s="16"/>
      <c r="R98" s="17">
        <f t="shared" si="12"/>
        <v>0</v>
      </c>
      <c r="S98" s="16"/>
      <c r="T98" s="16"/>
      <c r="U98" s="16"/>
      <c r="V98" s="16"/>
      <c r="W98" s="17">
        <f t="shared" si="13"/>
        <v>0</v>
      </c>
    </row>
    <row r="99" spans="1:23">
      <c r="A99" s="9"/>
      <c r="B99" s="9" t="s">
        <v>23</v>
      </c>
      <c r="C99" s="9" t="s">
        <v>30</v>
      </c>
      <c r="D99" s="15"/>
      <c r="E99" s="15"/>
      <c r="F99" s="15"/>
      <c r="G99" s="15"/>
      <c r="H99" s="14">
        <f t="shared" si="10"/>
        <v>0</v>
      </c>
      <c r="I99" s="15"/>
      <c r="J99" s="15"/>
      <c r="K99" s="15"/>
      <c r="L99" s="15"/>
      <c r="M99" s="14">
        <f t="shared" si="11"/>
        <v>0</v>
      </c>
      <c r="N99" s="15"/>
      <c r="O99" s="15"/>
      <c r="P99" s="15"/>
      <c r="Q99" s="15"/>
      <c r="R99" s="14">
        <f t="shared" si="12"/>
        <v>0</v>
      </c>
      <c r="S99" s="15"/>
      <c r="T99" s="15"/>
      <c r="U99" s="15"/>
      <c r="V99" s="15"/>
      <c r="W99" s="14">
        <f t="shared" si="13"/>
        <v>0</v>
      </c>
    </row>
    <row r="100" spans="1:23">
      <c r="A100" s="9"/>
      <c r="B100" s="9" t="s">
        <v>25</v>
      </c>
      <c r="C100" s="9" t="s">
        <v>31</v>
      </c>
      <c r="D100" s="15"/>
      <c r="E100" s="15"/>
      <c r="F100" s="15"/>
      <c r="G100" s="15"/>
      <c r="H100" s="14">
        <f t="shared" si="10"/>
        <v>0</v>
      </c>
      <c r="I100" s="15"/>
      <c r="J100" s="15"/>
      <c r="K100" s="15"/>
      <c r="L100" s="15"/>
      <c r="M100" s="14">
        <f t="shared" si="11"/>
        <v>0</v>
      </c>
      <c r="N100" s="15"/>
      <c r="O100" s="15"/>
      <c r="P100" s="15"/>
      <c r="Q100" s="15"/>
      <c r="R100" s="14">
        <f t="shared" si="12"/>
        <v>0</v>
      </c>
      <c r="S100" s="15"/>
      <c r="T100" s="15"/>
      <c r="U100" s="15"/>
      <c r="V100" s="15"/>
      <c r="W100" s="14">
        <f t="shared" si="13"/>
        <v>0</v>
      </c>
    </row>
    <row r="101" spans="1:23">
      <c r="A101" s="9"/>
      <c r="B101" s="9" t="s">
        <v>32</v>
      </c>
      <c r="C101" s="9" t="s">
        <v>33</v>
      </c>
      <c r="D101" s="15"/>
      <c r="E101" s="18"/>
      <c r="F101" s="18"/>
      <c r="G101" s="18"/>
      <c r="H101" s="19">
        <f t="shared" si="10"/>
        <v>0</v>
      </c>
      <c r="I101" s="18"/>
      <c r="J101" s="18"/>
      <c r="K101" s="18"/>
      <c r="L101" s="18"/>
      <c r="M101" s="19">
        <f t="shared" si="11"/>
        <v>0</v>
      </c>
      <c r="N101" s="18"/>
      <c r="O101" s="18"/>
      <c r="P101" s="18"/>
      <c r="Q101" s="18"/>
      <c r="R101" s="19">
        <f t="shared" si="12"/>
        <v>0</v>
      </c>
      <c r="S101" s="18"/>
      <c r="T101" s="18"/>
      <c r="U101" s="18"/>
      <c r="V101" s="18"/>
      <c r="W101" s="19">
        <f t="shared" si="13"/>
        <v>0</v>
      </c>
    </row>
    <row r="102" spans="1:23">
      <c r="A102" s="8" t="s">
        <v>34</v>
      </c>
      <c r="B102" s="27" t="s">
        <v>35</v>
      </c>
      <c r="C102" s="28"/>
      <c r="D102" s="13">
        <f>SUM(D103,D106,D107,D108,D109,D110,D111,D112,D113,D114,D115,D116,D117,D118,D119,D120)</f>
        <v>0</v>
      </c>
      <c r="E102" s="13">
        <f>SUM(E103,E106,E107,E108,E109,E110,E111,E112,E113,E114,E115,E116,E117,E118,E119,E120)</f>
        <v>0</v>
      </c>
      <c r="F102" s="13">
        <f>SUM(F103,F106,F107,F108,F109,F110,F111,F112,F113,F114,F115,F116,F117,F118,F119,F120)</f>
        <v>0</v>
      </c>
      <c r="G102" s="13">
        <f>SUM(G103,G106,G107,G108,G109,G110,G111,G112,G113,G114,G115,G116,G117,G118,G119,G120)</f>
        <v>0</v>
      </c>
      <c r="H102" s="14">
        <f t="shared" si="10"/>
        <v>0</v>
      </c>
      <c r="I102" s="13">
        <f>SUM(I103,I106,I107,I108,I109,I110,I111,I112,I113,I114,I115,I116,I117,I118,I119,I120)</f>
        <v>0</v>
      </c>
      <c r="J102" s="13">
        <f>SUM(J103,J106,J107,J108,J109,J110,J111,J112,J113,J114,J115,J116,J117,J118,J119,J120)</f>
        <v>0</v>
      </c>
      <c r="K102" s="13">
        <f>SUM(K103,K106,K107,K108,K109,K110,K111,K112,K113,K114,K115,K116,K117,K118,K119,K120)</f>
        <v>0</v>
      </c>
      <c r="L102" s="13">
        <f>SUM(L103,L106,L107,L108,L109,L110,L111,L112,L113,L114,L115,L116,L117,L118,L119,L120)</f>
        <v>0</v>
      </c>
      <c r="M102" s="14">
        <f t="shared" si="11"/>
        <v>0</v>
      </c>
      <c r="N102" s="13">
        <f>SUM(N103,N106,N107,N108,N109,N110,N111,N112,N113,N114,N115,N116,N117,N118,N119,N120)</f>
        <v>0</v>
      </c>
      <c r="O102" s="13">
        <f>SUM(O103,O106,O107,O108,O109,O110,O111,O112,O113,O114,O115,O116,O117,O118,O119,O120)</f>
        <v>0</v>
      </c>
      <c r="P102" s="13">
        <f>SUM(P103,P106,P107,P108,P109,P110,P111,P112,P113,P114,P115,P116,P117,P118,P119,P120)</f>
        <v>0</v>
      </c>
      <c r="Q102" s="13">
        <f>SUM(Q103,Q106,Q107,Q108,Q109,Q110,Q111,Q112,Q113,Q114,Q115,Q116,Q117,Q118,Q119,Q120)</f>
        <v>0</v>
      </c>
      <c r="R102" s="14">
        <f t="shared" si="12"/>
        <v>0</v>
      </c>
      <c r="S102" s="13">
        <f>SUM(S103,S106,S107,S108,S109,S110,S111,S112,S113,S114,S115,S116,S117,S118,S119,S120)</f>
        <v>0</v>
      </c>
      <c r="T102" s="13">
        <f>SUM(T103,T106,T107,T108,T109,T110,T111,T112,T113,T114,T115,T116,T117,T118,T119,T120)</f>
        <v>0</v>
      </c>
      <c r="U102" s="13">
        <f>SUM(U103,U106,U107,U108,U109,U110,U111,U112,U113,U114,U115,U116,U117,U118,U119,U120)</f>
        <v>0</v>
      </c>
      <c r="V102" s="13">
        <f>SUM(V103,V106,V107,V108,V109,V110,V111,V112,V113,V114,V115,V116,V117,V118,V119,V120)</f>
        <v>0</v>
      </c>
      <c r="W102" s="14">
        <f t="shared" si="13"/>
        <v>0</v>
      </c>
    </row>
    <row r="103" spans="1:23">
      <c r="A103" s="9"/>
      <c r="B103" s="9" t="s">
        <v>14</v>
      </c>
      <c r="C103" s="9" t="s">
        <v>36</v>
      </c>
      <c r="D103" s="15"/>
      <c r="E103" s="16"/>
      <c r="F103" s="16"/>
      <c r="G103" s="16"/>
      <c r="H103" s="17">
        <f t="shared" si="10"/>
        <v>0</v>
      </c>
      <c r="I103" s="16"/>
      <c r="J103" s="16"/>
      <c r="K103" s="16"/>
      <c r="L103" s="16"/>
      <c r="M103" s="17">
        <f t="shared" si="11"/>
        <v>0</v>
      </c>
      <c r="N103" s="16"/>
      <c r="O103" s="16"/>
      <c r="P103" s="16"/>
      <c r="Q103" s="16"/>
      <c r="R103" s="17">
        <f t="shared" si="12"/>
        <v>0</v>
      </c>
      <c r="S103" s="16"/>
      <c r="T103" s="16"/>
      <c r="U103" s="16"/>
      <c r="V103" s="16"/>
      <c r="W103" s="17">
        <f t="shared" si="13"/>
        <v>0</v>
      </c>
    </row>
    <row r="104" spans="1:23">
      <c r="A104" s="9"/>
      <c r="B104" s="9"/>
      <c r="C104" s="9" t="s">
        <v>37</v>
      </c>
      <c r="D104" s="15"/>
      <c r="E104" s="15"/>
      <c r="F104" s="15"/>
      <c r="G104" s="15"/>
      <c r="H104" s="14">
        <f t="shared" si="10"/>
        <v>0</v>
      </c>
      <c r="I104" s="15"/>
      <c r="J104" s="15"/>
      <c r="K104" s="15"/>
      <c r="L104" s="15"/>
      <c r="M104" s="14">
        <f t="shared" si="11"/>
        <v>0</v>
      </c>
      <c r="N104" s="15"/>
      <c r="O104" s="15"/>
      <c r="P104" s="15"/>
      <c r="Q104" s="15"/>
      <c r="R104" s="14">
        <f t="shared" si="12"/>
        <v>0</v>
      </c>
      <c r="S104" s="15"/>
      <c r="T104" s="15"/>
      <c r="U104" s="15"/>
      <c r="V104" s="15"/>
      <c r="W104" s="14">
        <f t="shared" si="13"/>
        <v>0</v>
      </c>
    </row>
    <row r="105" spans="1:23">
      <c r="A105" s="9"/>
      <c r="B105" s="9"/>
      <c r="C105" s="9" t="s">
        <v>38</v>
      </c>
      <c r="D105" s="15"/>
      <c r="E105" s="15"/>
      <c r="F105" s="15"/>
      <c r="G105" s="15"/>
      <c r="H105" s="14">
        <f t="shared" si="10"/>
        <v>0</v>
      </c>
      <c r="I105" s="15"/>
      <c r="J105" s="15"/>
      <c r="K105" s="15"/>
      <c r="L105" s="15"/>
      <c r="M105" s="14">
        <f t="shared" si="11"/>
        <v>0</v>
      </c>
      <c r="N105" s="15"/>
      <c r="O105" s="15"/>
      <c r="P105" s="15"/>
      <c r="Q105" s="15"/>
      <c r="R105" s="14">
        <f t="shared" si="12"/>
        <v>0</v>
      </c>
      <c r="S105" s="15"/>
      <c r="T105" s="15"/>
      <c r="U105" s="15"/>
      <c r="V105" s="15"/>
      <c r="W105" s="14">
        <f t="shared" si="13"/>
        <v>0</v>
      </c>
    </row>
    <row r="106" spans="1:23">
      <c r="A106" s="9"/>
      <c r="B106" s="9" t="s">
        <v>23</v>
      </c>
      <c r="C106" s="9" t="s">
        <v>39</v>
      </c>
      <c r="D106" s="15"/>
      <c r="E106" s="15"/>
      <c r="F106" s="15"/>
      <c r="G106" s="15"/>
      <c r="H106" s="14">
        <f t="shared" si="10"/>
        <v>0</v>
      </c>
      <c r="I106" s="15"/>
      <c r="J106" s="15"/>
      <c r="K106" s="15"/>
      <c r="L106" s="15"/>
      <c r="M106" s="14">
        <f t="shared" si="11"/>
        <v>0</v>
      </c>
      <c r="N106" s="15"/>
      <c r="O106" s="15"/>
      <c r="P106" s="15"/>
      <c r="Q106" s="15"/>
      <c r="R106" s="14">
        <f t="shared" si="12"/>
        <v>0</v>
      </c>
      <c r="S106" s="15"/>
      <c r="T106" s="15"/>
      <c r="U106" s="15"/>
      <c r="V106" s="15"/>
      <c r="W106" s="14">
        <f t="shared" si="13"/>
        <v>0</v>
      </c>
    </row>
    <row r="107" spans="1:23">
      <c r="A107" s="9"/>
      <c r="B107" s="9" t="s">
        <v>25</v>
      </c>
      <c r="C107" s="9" t="s">
        <v>40</v>
      </c>
      <c r="D107" s="15"/>
      <c r="E107" s="15"/>
      <c r="F107" s="15"/>
      <c r="G107" s="15"/>
      <c r="H107" s="14">
        <f t="shared" si="10"/>
        <v>0</v>
      </c>
      <c r="I107" s="15"/>
      <c r="J107" s="15"/>
      <c r="K107" s="15"/>
      <c r="L107" s="15"/>
      <c r="M107" s="14">
        <f t="shared" si="11"/>
        <v>0</v>
      </c>
      <c r="N107" s="15"/>
      <c r="O107" s="15"/>
      <c r="P107" s="15"/>
      <c r="Q107" s="15"/>
      <c r="R107" s="14">
        <f t="shared" si="12"/>
        <v>0</v>
      </c>
      <c r="S107" s="15"/>
      <c r="T107" s="15"/>
      <c r="U107" s="15"/>
      <c r="V107" s="15"/>
      <c r="W107" s="14">
        <f t="shared" si="13"/>
        <v>0</v>
      </c>
    </row>
    <row r="108" spans="1:23">
      <c r="A108" s="9"/>
      <c r="B108" s="9" t="s">
        <v>32</v>
      </c>
      <c r="C108" s="9" t="s">
        <v>41</v>
      </c>
      <c r="D108" s="15"/>
      <c r="E108" s="15"/>
      <c r="F108" s="15"/>
      <c r="G108" s="15"/>
      <c r="H108" s="14">
        <f t="shared" si="10"/>
        <v>0</v>
      </c>
      <c r="I108" s="15"/>
      <c r="J108" s="15"/>
      <c r="K108" s="15"/>
      <c r="L108" s="15"/>
      <c r="M108" s="14">
        <f t="shared" si="11"/>
        <v>0</v>
      </c>
      <c r="N108" s="15"/>
      <c r="O108" s="15"/>
      <c r="P108" s="15"/>
      <c r="Q108" s="15"/>
      <c r="R108" s="14">
        <f t="shared" si="12"/>
        <v>0</v>
      </c>
      <c r="S108" s="15"/>
      <c r="T108" s="15"/>
      <c r="U108" s="15"/>
      <c r="V108" s="15"/>
      <c r="W108" s="14">
        <f t="shared" si="13"/>
        <v>0</v>
      </c>
    </row>
    <row r="109" spans="1:23">
      <c r="A109" s="9"/>
      <c r="B109" s="9" t="s">
        <v>42</v>
      </c>
      <c r="C109" s="9" t="s">
        <v>43</v>
      </c>
      <c r="D109" s="15"/>
      <c r="E109" s="15"/>
      <c r="F109" s="15"/>
      <c r="G109" s="15"/>
      <c r="H109" s="14">
        <f t="shared" si="10"/>
        <v>0</v>
      </c>
      <c r="I109" s="15"/>
      <c r="J109" s="15"/>
      <c r="K109" s="15"/>
      <c r="L109" s="15"/>
      <c r="M109" s="14">
        <f t="shared" si="11"/>
        <v>0</v>
      </c>
      <c r="N109" s="15"/>
      <c r="O109" s="15"/>
      <c r="P109" s="15"/>
      <c r="Q109" s="15"/>
      <c r="R109" s="14">
        <f t="shared" si="12"/>
        <v>0</v>
      </c>
      <c r="S109" s="15"/>
      <c r="T109" s="15"/>
      <c r="U109" s="15"/>
      <c r="V109" s="15"/>
      <c r="W109" s="14">
        <f t="shared" si="13"/>
        <v>0</v>
      </c>
    </row>
    <row r="110" spans="1:23">
      <c r="A110" s="9"/>
      <c r="B110" s="9" t="s">
        <v>44</v>
      </c>
      <c r="C110" s="9" t="s">
        <v>45</v>
      </c>
      <c r="D110" s="15"/>
      <c r="E110" s="15"/>
      <c r="F110" s="15"/>
      <c r="G110" s="15"/>
      <c r="H110" s="14">
        <f t="shared" si="10"/>
        <v>0</v>
      </c>
      <c r="I110" s="15"/>
      <c r="J110" s="15"/>
      <c r="K110" s="15"/>
      <c r="L110" s="15"/>
      <c r="M110" s="14">
        <f t="shared" si="11"/>
        <v>0</v>
      </c>
      <c r="N110" s="15"/>
      <c r="O110" s="15"/>
      <c r="P110" s="15"/>
      <c r="Q110" s="15"/>
      <c r="R110" s="14">
        <f t="shared" si="12"/>
        <v>0</v>
      </c>
      <c r="S110" s="15"/>
      <c r="T110" s="15"/>
      <c r="U110" s="15"/>
      <c r="V110" s="15"/>
      <c r="W110" s="14">
        <f t="shared" si="13"/>
        <v>0</v>
      </c>
    </row>
    <row r="111" spans="1:23">
      <c r="A111" s="9"/>
      <c r="B111" s="9" t="s">
        <v>46</v>
      </c>
      <c r="C111" s="9" t="s">
        <v>47</v>
      </c>
      <c r="D111" s="15"/>
      <c r="E111" s="15"/>
      <c r="F111" s="15"/>
      <c r="G111" s="15"/>
      <c r="H111" s="14">
        <f t="shared" si="10"/>
        <v>0</v>
      </c>
      <c r="I111" s="15"/>
      <c r="J111" s="15"/>
      <c r="K111" s="15"/>
      <c r="L111" s="15"/>
      <c r="M111" s="14">
        <f t="shared" si="11"/>
        <v>0</v>
      </c>
      <c r="N111" s="15"/>
      <c r="O111" s="15"/>
      <c r="P111" s="15"/>
      <c r="Q111" s="15"/>
      <c r="R111" s="14">
        <f t="shared" si="12"/>
        <v>0</v>
      </c>
      <c r="S111" s="15"/>
      <c r="T111" s="15"/>
      <c r="U111" s="15"/>
      <c r="V111" s="15"/>
      <c r="W111" s="14">
        <f t="shared" si="13"/>
        <v>0</v>
      </c>
    </row>
    <row r="112" spans="1:23">
      <c r="A112" s="9"/>
      <c r="B112" s="9" t="s">
        <v>48</v>
      </c>
      <c r="C112" s="9" t="s">
        <v>49</v>
      </c>
      <c r="D112" s="15"/>
      <c r="E112" s="15"/>
      <c r="F112" s="15"/>
      <c r="G112" s="15"/>
      <c r="H112" s="14">
        <f t="shared" si="10"/>
        <v>0</v>
      </c>
      <c r="I112" s="15"/>
      <c r="J112" s="15"/>
      <c r="K112" s="15"/>
      <c r="L112" s="15"/>
      <c r="M112" s="14">
        <f t="shared" si="11"/>
        <v>0</v>
      </c>
      <c r="N112" s="15"/>
      <c r="O112" s="15"/>
      <c r="P112" s="15"/>
      <c r="Q112" s="15"/>
      <c r="R112" s="14">
        <f t="shared" si="12"/>
        <v>0</v>
      </c>
      <c r="S112" s="15"/>
      <c r="T112" s="15"/>
      <c r="U112" s="15"/>
      <c r="V112" s="15"/>
      <c r="W112" s="14">
        <f t="shared" si="13"/>
        <v>0</v>
      </c>
    </row>
    <row r="113" spans="1:23">
      <c r="A113" s="9"/>
      <c r="B113" s="9" t="s">
        <v>50</v>
      </c>
      <c r="C113" s="9" t="s">
        <v>51</v>
      </c>
      <c r="D113" s="15"/>
      <c r="E113" s="15"/>
      <c r="F113" s="15"/>
      <c r="G113" s="15"/>
      <c r="H113" s="14">
        <f t="shared" si="10"/>
        <v>0</v>
      </c>
      <c r="I113" s="15"/>
      <c r="J113" s="15"/>
      <c r="K113" s="15"/>
      <c r="L113" s="15"/>
      <c r="M113" s="14">
        <f t="shared" si="11"/>
        <v>0</v>
      </c>
      <c r="N113" s="15"/>
      <c r="O113" s="15"/>
      <c r="P113" s="15"/>
      <c r="Q113" s="15"/>
      <c r="R113" s="14">
        <f t="shared" si="12"/>
        <v>0</v>
      </c>
      <c r="S113" s="15"/>
      <c r="T113" s="15"/>
      <c r="U113" s="15"/>
      <c r="V113" s="15"/>
      <c r="W113" s="14">
        <f t="shared" si="13"/>
        <v>0</v>
      </c>
    </row>
    <row r="114" spans="1:23">
      <c r="A114" s="9"/>
      <c r="B114" s="9" t="s">
        <v>52</v>
      </c>
      <c r="C114" s="9" t="s">
        <v>53</v>
      </c>
      <c r="D114" s="15"/>
      <c r="E114" s="15"/>
      <c r="F114" s="15"/>
      <c r="G114" s="15"/>
      <c r="H114" s="14">
        <f t="shared" si="10"/>
        <v>0</v>
      </c>
      <c r="I114" s="15"/>
      <c r="J114" s="15"/>
      <c r="K114" s="15"/>
      <c r="L114" s="15"/>
      <c r="M114" s="14">
        <f t="shared" si="11"/>
        <v>0</v>
      </c>
      <c r="N114" s="15"/>
      <c r="O114" s="15"/>
      <c r="P114" s="15"/>
      <c r="Q114" s="15"/>
      <c r="R114" s="14">
        <f t="shared" si="12"/>
        <v>0</v>
      </c>
      <c r="S114" s="15"/>
      <c r="T114" s="15"/>
      <c r="U114" s="15"/>
      <c r="V114" s="15"/>
      <c r="W114" s="14">
        <f t="shared" si="13"/>
        <v>0</v>
      </c>
    </row>
    <row r="115" spans="1:23">
      <c r="A115" s="9"/>
      <c r="B115" s="9" t="s">
        <v>54</v>
      </c>
      <c r="C115" s="9" t="s">
        <v>55</v>
      </c>
      <c r="D115" s="15"/>
      <c r="E115" s="15"/>
      <c r="F115" s="15"/>
      <c r="G115" s="15"/>
      <c r="H115" s="14">
        <f t="shared" si="10"/>
        <v>0</v>
      </c>
      <c r="I115" s="15"/>
      <c r="J115" s="15"/>
      <c r="K115" s="15"/>
      <c r="L115" s="15"/>
      <c r="M115" s="14">
        <f t="shared" si="11"/>
        <v>0</v>
      </c>
      <c r="N115" s="15"/>
      <c r="O115" s="15"/>
      <c r="P115" s="15"/>
      <c r="Q115" s="15"/>
      <c r="R115" s="14">
        <f t="shared" si="12"/>
        <v>0</v>
      </c>
      <c r="S115" s="15"/>
      <c r="T115" s="15"/>
      <c r="U115" s="15"/>
      <c r="V115" s="15"/>
      <c r="W115" s="14">
        <f t="shared" si="13"/>
        <v>0</v>
      </c>
    </row>
    <row r="116" spans="1:23">
      <c r="A116" s="9"/>
      <c r="B116" s="9" t="s">
        <v>56</v>
      </c>
      <c r="C116" s="9" t="s">
        <v>57</v>
      </c>
      <c r="D116" s="15"/>
      <c r="E116" s="15"/>
      <c r="F116" s="15"/>
      <c r="G116" s="15"/>
      <c r="H116" s="14">
        <f t="shared" si="10"/>
        <v>0</v>
      </c>
      <c r="I116" s="15"/>
      <c r="J116" s="15"/>
      <c r="K116" s="15"/>
      <c r="L116" s="15"/>
      <c r="M116" s="14">
        <f t="shared" si="11"/>
        <v>0</v>
      </c>
      <c r="N116" s="15"/>
      <c r="O116" s="15"/>
      <c r="P116" s="15"/>
      <c r="Q116" s="15"/>
      <c r="R116" s="14">
        <f t="shared" si="12"/>
        <v>0</v>
      </c>
      <c r="S116" s="15"/>
      <c r="T116" s="15"/>
      <c r="U116" s="15"/>
      <c r="V116" s="15"/>
      <c r="W116" s="14">
        <f t="shared" si="13"/>
        <v>0</v>
      </c>
    </row>
    <row r="117" spans="1:23">
      <c r="A117" s="9"/>
      <c r="B117" s="9" t="s">
        <v>58</v>
      </c>
      <c r="C117" s="9" t="s">
        <v>59</v>
      </c>
      <c r="D117" s="15"/>
      <c r="E117" s="15"/>
      <c r="F117" s="15"/>
      <c r="G117" s="15"/>
      <c r="H117" s="14">
        <f t="shared" si="10"/>
        <v>0</v>
      </c>
      <c r="I117" s="15"/>
      <c r="J117" s="15"/>
      <c r="K117" s="15"/>
      <c r="L117" s="15"/>
      <c r="M117" s="14">
        <f t="shared" si="11"/>
        <v>0</v>
      </c>
      <c r="N117" s="15"/>
      <c r="O117" s="15"/>
      <c r="P117" s="15"/>
      <c r="Q117" s="15"/>
      <c r="R117" s="14">
        <f t="shared" si="12"/>
        <v>0</v>
      </c>
      <c r="S117" s="15"/>
      <c r="T117" s="15"/>
      <c r="U117" s="15"/>
      <c r="V117" s="15"/>
      <c r="W117" s="14">
        <f t="shared" si="13"/>
        <v>0</v>
      </c>
    </row>
    <row r="118" spans="1:23">
      <c r="A118" s="9"/>
      <c r="B118" s="9" t="s">
        <v>60</v>
      </c>
      <c r="C118" s="9" t="s">
        <v>61</v>
      </c>
      <c r="D118" s="15"/>
      <c r="E118" s="15"/>
      <c r="F118" s="15"/>
      <c r="G118" s="15"/>
      <c r="H118" s="14">
        <f t="shared" si="10"/>
        <v>0</v>
      </c>
      <c r="I118" s="15"/>
      <c r="J118" s="15"/>
      <c r="K118" s="15"/>
      <c r="L118" s="15"/>
      <c r="M118" s="14">
        <f t="shared" si="11"/>
        <v>0</v>
      </c>
      <c r="N118" s="15"/>
      <c r="O118" s="15"/>
      <c r="P118" s="15"/>
      <c r="Q118" s="15"/>
      <c r="R118" s="14">
        <f t="shared" si="12"/>
        <v>0</v>
      </c>
      <c r="S118" s="15"/>
      <c r="T118" s="15"/>
      <c r="U118" s="15"/>
      <c r="V118" s="15"/>
      <c r="W118" s="14">
        <f t="shared" si="13"/>
        <v>0</v>
      </c>
    </row>
    <row r="119" spans="1:23">
      <c r="A119" s="9"/>
      <c r="B119" s="9" t="s">
        <v>62</v>
      </c>
      <c r="C119" s="9" t="s">
        <v>63</v>
      </c>
      <c r="D119" s="15"/>
      <c r="E119" s="15"/>
      <c r="F119" s="15"/>
      <c r="G119" s="15"/>
      <c r="H119" s="14">
        <f t="shared" si="10"/>
        <v>0</v>
      </c>
      <c r="I119" s="15"/>
      <c r="J119" s="15"/>
      <c r="K119" s="15"/>
      <c r="L119" s="15"/>
      <c r="M119" s="14">
        <f t="shared" si="11"/>
        <v>0</v>
      </c>
      <c r="N119" s="15"/>
      <c r="O119" s="15"/>
      <c r="P119" s="15"/>
      <c r="Q119" s="15"/>
      <c r="R119" s="14">
        <f t="shared" si="12"/>
        <v>0</v>
      </c>
      <c r="S119" s="15"/>
      <c r="T119" s="15"/>
      <c r="U119" s="15"/>
      <c r="V119" s="15"/>
      <c r="W119" s="14">
        <f t="shared" si="13"/>
        <v>0</v>
      </c>
    </row>
    <row r="120" spans="1:23">
      <c r="A120" s="9"/>
      <c r="B120" s="9" t="s">
        <v>64</v>
      </c>
      <c r="C120" s="9" t="s">
        <v>65</v>
      </c>
      <c r="D120" s="15"/>
      <c r="E120" s="18"/>
      <c r="F120" s="18"/>
      <c r="G120" s="18"/>
      <c r="H120" s="19">
        <f t="shared" si="10"/>
        <v>0</v>
      </c>
      <c r="I120" s="18"/>
      <c r="J120" s="18"/>
      <c r="K120" s="18"/>
      <c r="L120" s="18"/>
      <c r="M120" s="19">
        <f t="shared" si="11"/>
        <v>0</v>
      </c>
      <c r="N120" s="18"/>
      <c r="O120" s="18"/>
      <c r="P120" s="18"/>
      <c r="Q120" s="18"/>
      <c r="R120" s="19">
        <f t="shared" si="12"/>
        <v>0</v>
      </c>
      <c r="S120" s="18"/>
      <c r="T120" s="18"/>
      <c r="U120" s="18"/>
      <c r="V120" s="18"/>
      <c r="W120" s="19">
        <f t="shared" si="13"/>
        <v>0</v>
      </c>
    </row>
    <row r="121" spans="1:23">
      <c r="A121" s="8" t="s">
        <v>66</v>
      </c>
      <c r="B121" s="27" t="s">
        <v>67</v>
      </c>
      <c r="C121" s="28"/>
      <c r="D121" s="13">
        <f>SUM(D122,D123)</f>
        <v>0</v>
      </c>
      <c r="E121" s="13">
        <f>SUM(E122,E123)</f>
        <v>0</v>
      </c>
      <c r="F121" s="13">
        <f>SUM(F122,F123)</f>
        <v>0</v>
      </c>
      <c r="G121" s="13">
        <f>SUM(G122,G123)</f>
        <v>0</v>
      </c>
      <c r="H121" s="14">
        <f t="shared" si="10"/>
        <v>0</v>
      </c>
      <c r="I121" s="13">
        <f>SUM(I122,I123)</f>
        <v>0</v>
      </c>
      <c r="J121" s="13">
        <f>SUM(J122,J123)</f>
        <v>0</v>
      </c>
      <c r="K121" s="13">
        <f>SUM(K122,K123)</f>
        <v>0</v>
      </c>
      <c r="L121" s="13">
        <f>SUM(L122,L123)</f>
        <v>0</v>
      </c>
      <c r="M121" s="14">
        <f t="shared" si="11"/>
        <v>0</v>
      </c>
      <c r="N121" s="13">
        <f>SUM(N122,N123)</f>
        <v>0</v>
      </c>
      <c r="O121" s="13">
        <f>SUM(O122,O123)</f>
        <v>0</v>
      </c>
      <c r="P121" s="13">
        <f>SUM(P122,P123)</f>
        <v>0</v>
      </c>
      <c r="Q121" s="13">
        <f>SUM(Q122,Q123)</f>
        <v>0</v>
      </c>
      <c r="R121" s="14">
        <f t="shared" si="12"/>
        <v>0</v>
      </c>
      <c r="S121" s="13">
        <f>SUM(S122,S123)</f>
        <v>0</v>
      </c>
      <c r="T121" s="13">
        <f>SUM(T122,T123)</f>
        <v>0</v>
      </c>
      <c r="U121" s="13">
        <f>SUM(U122,U123)</f>
        <v>0</v>
      </c>
      <c r="V121" s="13">
        <f>SUM(V122,V123)</f>
        <v>0</v>
      </c>
      <c r="W121" s="14">
        <f t="shared" si="13"/>
        <v>0</v>
      </c>
    </row>
    <row r="122" spans="1:23">
      <c r="A122" s="9"/>
      <c r="B122" s="9" t="s">
        <v>14</v>
      </c>
      <c r="C122" s="9" t="s">
        <v>68</v>
      </c>
      <c r="D122" s="15"/>
      <c r="E122" s="16"/>
      <c r="F122" s="16"/>
      <c r="G122" s="16"/>
      <c r="H122" s="17">
        <f t="shared" si="10"/>
        <v>0</v>
      </c>
      <c r="I122" s="16"/>
      <c r="J122" s="16"/>
      <c r="K122" s="16"/>
      <c r="L122" s="16"/>
      <c r="M122" s="17">
        <f t="shared" si="11"/>
        <v>0</v>
      </c>
      <c r="N122" s="16"/>
      <c r="O122" s="16"/>
      <c r="P122" s="16"/>
      <c r="Q122" s="16"/>
      <c r="R122" s="17">
        <f t="shared" si="12"/>
        <v>0</v>
      </c>
      <c r="S122" s="16"/>
      <c r="T122" s="16"/>
      <c r="U122" s="16"/>
      <c r="V122" s="16"/>
      <c r="W122" s="17">
        <f t="shared" si="13"/>
        <v>0</v>
      </c>
    </row>
    <row r="123" spans="1:23">
      <c r="A123" s="9"/>
      <c r="B123" s="9" t="s">
        <v>23</v>
      </c>
      <c r="C123" s="9" t="s">
        <v>69</v>
      </c>
      <c r="D123" s="15"/>
      <c r="E123" s="18"/>
      <c r="F123" s="18"/>
      <c r="G123" s="18"/>
      <c r="H123" s="19">
        <f t="shared" si="10"/>
        <v>0</v>
      </c>
      <c r="I123" s="18"/>
      <c r="J123" s="18"/>
      <c r="K123" s="18"/>
      <c r="L123" s="18"/>
      <c r="M123" s="19">
        <f t="shared" si="11"/>
        <v>0</v>
      </c>
      <c r="N123" s="18"/>
      <c r="O123" s="18"/>
      <c r="P123" s="18"/>
      <c r="Q123" s="18"/>
      <c r="R123" s="19">
        <f t="shared" si="12"/>
        <v>0</v>
      </c>
      <c r="S123" s="18"/>
      <c r="T123" s="18"/>
      <c r="U123" s="18"/>
      <c r="V123" s="18"/>
      <c r="W123" s="19">
        <f t="shared" si="13"/>
        <v>0</v>
      </c>
    </row>
    <row r="124" spans="1:23">
      <c r="A124" s="8" t="s">
        <v>70</v>
      </c>
      <c r="B124" s="27" t="s">
        <v>71</v>
      </c>
      <c r="C124" s="28"/>
      <c r="D124" s="13"/>
      <c r="E124" s="13"/>
      <c r="F124" s="13"/>
      <c r="G124" s="13"/>
      <c r="H124" s="14">
        <f t="shared" si="10"/>
        <v>0</v>
      </c>
      <c r="I124" s="13"/>
      <c r="J124" s="13"/>
      <c r="K124" s="13"/>
      <c r="L124" s="13"/>
      <c r="M124" s="14">
        <f t="shared" si="11"/>
        <v>0</v>
      </c>
      <c r="N124" s="13"/>
      <c r="O124" s="13"/>
      <c r="P124" s="13"/>
      <c r="Q124" s="13"/>
      <c r="R124" s="14">
        <f t="shared" si="12"/>
        <v>0</v>
      </c>
      <c r="S124" s="13"/>
      <c r="T124" s="13"/>
      <c r="U124" s="13"/>
      <c r="V124" s="13"/>
      <c r="W124" s="14">
        <f t="shared" si="13"/>
        <v>0</v>
      </c>
    </row>
    <row r="125" spans="1:23">
      <c r="A125" s="8" t="s">
        <v>72</v>
      </c>
      <c r="B125" s="27" t="s">
        <v>73</v>
      </c>
      <c r="C125" s="28"/>
      <c r="D125" s="13"/>
      <c r="E125" s="13"/>
      <c r="F125" s="13"/>
      <c r="G125" s="13"/>
      <c r="H125" s="14">
        <f t="shared" si="10"/>
        <v>0</v>
      </c>
      <c r="I125" s="13"/>
      <c r="J125" s="13"/>
      <c r="K125" s="13"/>
      <c r="L125" s="13"/>
      <c r="M125" s="14">
        <f t="shared" si="11"/>
        <v>0</v>
      </c>
      <c r="N125" s="13"/>
      <c r="O125" s="13"/>
      <c r="P125" s="13"/>
      <c r="Q125" s="13"/>
      <c r="R125" s="14">
        <f t="shared" si="12"/>
        <v>0</v>
      </c>
      <c r="S125" s="13"/>
      <c r="T125" s="13"/>
      <c r="U125" s="13"/>
      <c r="V125" s="13"/>
      <c r="W125" s="14">
        <f t="shared" si="13"/>
        <v>0</v>
      </c>
    </row>
    <row r="126" spans="1:23">
      <c r="A126" s="8" t="s">
        <v>74</v>
      </c>
      <c r="B126" s="27" t="s">
        <v>75</v>
      </c>
      <c r="C126" s="28"/>
      <c r="D126" s="13">
        <f>SUM(D127,D128)</f>
        <v>0</v>
      </c>
      <c r="E126" s="13">
        <f>SUM(E127,E128)</f>
        <v>0</v>
      </c>
      <c r="F126" s="13">
        <f>SUM(F127,F128)</f>
        <v>0</v>
      </c>
      <c r="G126" s="13">
        <f>SUM(G127,G128)</f>
        <v>0</v>
      </c>
      <c r="H126" s="14">
        <f t="shared" si="10"/>
        <v>0</v>
      </c>
      <c r="I126" s="13">
        <f>SUM(I127,I128)</f>
        <v>0</v>
      </c>
      <c r="J126" s="13">
        <f>SUM(J127,J128)</f>
        <v>0</v>
      </c>
      <c r="K126" s="13">
        <f>SUM(K127,K128)</f>
        <v>0</v>
      </c>
      <c r="L126" s="13">
        <f>SUM(L127,L128)</f>
        <v>0</v>
      </c>
      <c r="M126" s="14">
        <f t="shared" si="11"/>
        <v>0</v>
      </c>
      <c r="N126" s="13">
        <f>SUM(N127,N128)</f>
        <v>0</v>
      </c>
      <c r="O126" s="13">
        <f>SUM(O127,O128)</f>
        <v>0</v>
      </c>
      <c r="P126" s="13">
        <f>SUM(P127,P128)</f>
        <v>0</v>
      </c>
      <c r="Q126" s="13">
        <f>SUM(Q127,Q128)</f>
        <v>0</v>
      </c>
      <c r="R126" s="14">
        <f t="shared" si="12"/>
        <v>0</v>
      </c>
      <c r="S126" s="13">
        <f>SUM(S127,S128)</f>
        <v>0</v>
      </c>
      <c r="T126" s="13">
        <f>SUM(T127,T128)</f>
        <v>0</v>
      </c>
      <c r="U126" s="13">
        <f>SUM(U127,U128)</f>
        <v>0</v>
      </c>
      <c r="V126" s="13">
        <f>SUM(V127,V128)</f>
        <v>0</v>
      </c>
      <c r="W126" s="14">
        <f t="shared" si="13"/>
        <v>0</v>
      </c>
    </row>
    <row r="127" spans="1:23">
      <c r="A127" s="9"/>
      <c r="B127" s="9" t="s">
        <v>14</v>
      </c>
      <c r="C127" s="9" t="s">
        <v>76</v>
      </c>
      <c r="D127" s="15"/>
      <c r="E127" s="16"/>
      <c r="F127" s="16"/>
      <c r="G127" s="16"/>
      <c r="H127" s="17">
        <f t="shared" si="10"/>
        <v>0</v>
      </c>
      <c r="I127" s="16"/>
      <c r="J127" s="16"/>
      <c r="K127" s="16"/>
      <c r="L127" s="16"/>
      <c r="M127" s="17">
        <f t="shared" si="11"/>
        <v>0</v>
      </c>
      <c r="N127" s="16"/>
      <c r="O127" s="16"/>
      <c r="P127" s="16"/>
      <c r="Q127" s="16"/>
      <c r="R127" s="17">
        <f t="shared" si="12"/>
        <v>0</v>
      </c>
      <c r="S127" s="16"/>
      <c r="T127" s="16"/>
      <c r="U127" s="16"/>
      <c r="V127" s="16"/>
      <c r="W127" s="17">
        <f t="shared" si="13"/>
        <v>0</v>
      </c>
    </row>
    <row r="128" spans="1:23">
      <c r="A128" s="9"/>
      <c r="B128" s="9" t="s">
        <v>23</v>
      </c>
      <c r="C128" s="9" t="s">
        <v>77</v>
      </c>
      <c r="D128" s="15"/>
      <c r="E128" s="18"/>
      <c r="F128" s="18"/>
      <c r="G128" s="18"/>
      <c r="H128" s="19">
        <f t="shared" si="10"/>
        <v>0</v>
      </c>
      <c r="I128" s="18"/>
      <c r="J128" s="18"/>
      <c r="K128" s="18"/>
      <c r="L128" s="18"/>
      <c r="M128" s="19">
        <f t="shared" si="11"/>
        <v>0</v>
      </c>
      <c r="N128" s="18"/>
      <c r="O128" s="18"/>
      <c r="P128" s="18"/>
      <c r="Q128" s="18"/>
      <c r="R128" s="19">
        <f t="shared" si="12"/>
        <v>0</v>
      </c>
      <c r="S128" s="18"/>
      <c r="T128" s="18"/>
      <c r="U128" s="18"/>
      <c r="V128" s="18"/>
      <c r="W128" s="19">
        <f t="shared" si="13"/>
        <v>0</v>
      </c>
    </row>
    <row r="129" spans="1:23">
      <c r="A129" s="8" t="s">
        <v>78</v>
      </c>
      <c r="B129" s="27" t="s">
        <v>79</v>
      </c>
      <c r="C129" s="28"/>
      <c r="D129" s="13">
        <f>SUM(D130,D131,D132,D133,D134,D135)</f>
        <v>0</v>
      </c>
      <c r="E129" s="13">
        <f>SUM(E130,E131,E132,E133,E134,E135)</f>
        <v>0</v>
      </c>
      <c r="F129" s="13">
        <f>SUM(F130,F131,F132,F133,F134,F135)</f>
        <v>0</v>
      </c>
      <c r="G129" s="13">
        <f>SUM(G130,G131,G132,G133,G134,G135)</f>
        <v>0</v>
      </c>
      <c r="H129" s="14">
        <f t="shared" si="10"/>
        <v>0</v>
      </c>
      <c r="I129" s="13">
        <f>SUM(I130,I131,I132,I133,I134,I135)</f>
        <v>0</v>
      </c>
      <c r="J129" s="13">
        <f>SUM(J130,J131,J132,J133,J134,J135)</f>
        <v>0</v>
      </c>
      <c r="K129" s="13">
        <f>SUM(K130,K131,K132,K133,K134,K135)</f>
        <v>0</v>
      </c>
      <c r="L129" s="13">
        <f>SUM(L130,L131,L132,L133,L134,L135)</f>
        <v>0</v>
      </c>
      <c r="M129" s="14">
        <f t="shared" si="11"/>
        <v>0</v>
      </c>
      <c r="N129" s="13">
        <f>SUM(N130,N131,N132,N133,N134,N135)</f>
        <v>0</v>
      </c>
      <c r="O129" s="13">
        <f>SUM(O130,O131,O132,O133,O134,O135)</f>
        <v>0</v>
      </c>
      <c r="P129" s="13">
        <f>SUM(P130,P131,P132,P133,P134,P135)</f>
        <v>0</v>
      </c>
      <c r="Q129" s="13">
        <f>SUM(Q130,Q131,Q132,Q133,Q134,Q135)</f>
        <v>0</v>
      </c>
      <c r="R129" s="14">
        <f t="shared" si="12"/>
        <v>0</v>
      </c>
      <c r="S129" s="13">
        <f>SUM(S130,S131,S132,S133,S134,S135)</f>
        <v>0</v>
      </c>
      <c r="T129" s="13">
        <f>SUM(T130,T131,T132,T133,T134,T135)</f>
        <v>0</v>
      </c>
      <c r="U129" s="13">
        <f>SUM(U130,U131,U132,U133,U134,U135)</f>
        <v>0</v>
      </c>
      <c r="V129" s="13">
        <f>SUM(V130,V131,V132,V133,V134,V135)</f>
        <v>0</v>
      </c>
      <c r="W129" s="14">
        <f t="shared" si="13"/>
        <v>0</v>
      </c>
    </row>
    <row r="130" spans="1:23">
      <c r="A130" s="9"/>
      <c r="B130" s="9" t="s">
        <v>14</v>
      </c>
      <c r="C130" s="9" t="s">
        <v>80</v>
      </c>
      <c r="D130" s="15"/>
      <c r="E130" s="16"/>
      <c r="F130" s="16"/>
      <c r="G130" s="16"/>
      <c r="H130" s="17">
        <f t="shared" si="10"/>
        <v>0</v>
      </c>
      <c r="I130" s="16"/>
      <c r="J130" s="16"/>
      <c r="K130" s="16"/>
      <c r="L130" s="16"/>
      <c r="M130" s="17">
        <f t="shared" si="11"/>
        <v>0</v>
      </c>
      <c r="N130" s="16"/>
      <c r="O130" s="16"/>
      <c r="P130" s="16"/>
      <c r="Q130" s="16"/>
      <c r="R130" s="17">
        <f t="shared" si="12"/>
        <v>0</v>
      </c>
      <c r="S130" s="16"/>
      <c r="T130" s="16"/>
      <c r="U130" s="16"/>
      <c r="V130" s="16"/>
      <c r="W130" s="17">
        <f t="shared" si="13"/>
        <v>0</v>
      </c>
    </row>
    <row r="131" spans="1:23">
      <c r="A131" s="9"/>
      <c r="B131" s="9" t="s">
        <v>23</v>
      </c>
      <c r="C131" s="9" t="s">
        <v>81</v>
      </c>
      <c r="D131" s="15"/>
      <c r="E131" s="15"/>
      <c r="F131" s="15"/>
      <c r="G131" s="15"/>
      <c r="H131" s="14">
        <f t="shared" si="10"/>
        <v>0</v>
      </c>
      <c r="I131" s="15"/>
      <c r="J131" s="15"/>
      <c r="K131" s="15"/>
      <c r="L131" s="15"/>
      <c r="M131" s="14">
        <f t="shared" si="11"/>
        <v>0</v>
      </c>
      <c r="N131" s="15"/>
      <c r="O131" s="15"/>
      <c r="P131" s="15"/>
      <c r="Q131" s="15"/>
      <c r="R131" s="14">
        <f t="shared" si="12"/>
        <v>0</v>
      </c>
      <c r="S131" s="15"/>
      <c r="T131" s="15"/>
      <c r="U131" s="15"/>
      <c r="V131" s="15"/>
      <c r="W131" s="14">
        <f t="shared" si="13"/>
        <v>0</v>
      </c>
    </row>
    <row r="132" spans="1:23">
      <c r="A132" s="9"/>
      <c r="B132" s="9" t="s">
        <v>25</v>
      </c>
      <c r="C132" s="9" t="s">
        <v>82</v>
      </c>
      <c r="D132" s="15"/>
      <c r="E132" s="15"/>
      <c r="F132" s="15"/>
      <c r="G132" s="15"/>
      <c r="H132" s="14">
        <f t="shared" si="10"/>
        <v>0</v>
      </c>
      <c r="I132" s="15"/>
      <c r="J132" s="15"/>
      <c r="K132" s="15"/>
      <c r="L132" s="15"/>
      <c r="M132" s="14">
        <f t="shared" si="11"/>
        <v>0</v>
      </c>
      <c r="N132" s="15"/>
      <c r="O132" s="15"/>
      <c r="P132" s="15"/>
      <c r="Q132" s="15"/>
      <c r="R132" s="14">
        <f t="shared" si="12"/>
        <v>0</v>
      </c>
      <c r="S132" s="15"/>
      <c r="T132" s="15"/>
      <c r="U132" s="15"/>
      <c r="V132" s="15"/>
      <c r="W132" s="14">
        <f t="shared" si="13"/>
        <v>0</v>
      </c>
    </row>
    <row r="133" spans="1:23">
      <c r="A133" s="9"/>
      <c r="B133" s="9" t="s">
        <v>32</v>
      </c>
      <c r="C133" s="9" t="s">
        <v>83</v>
      </c>
      <c r="D133" s="15"/>
      <c r="E133" s="15"/>
      <c r="F133" s="15"/>
      <c r="G133" s="15"/>
      <c r="H133" s="14">
        <f t="shared" si="10"/>
        <v>0</v>
      </c>
      <c r="I133" s="15"/>
      <c r="J133" s="15"/>
      <c r="K133" s="15"/>
      <c r="L133" s="15"/>
      <c r="M133" s="14">
        <f t="shared" si="11"/>
        <v>0</v>
      </c>
      <c r="N133" s="15"/>
      <c r="O133" s="15"/>
      <c r="P133" s="15"/>
      <c r="Q133" s="15"/>
      <c r="R133" s="14">
        <f t="shared" si="12"/>
        <v>0</v>
      </c>
      <c r="S133" s="15"/>
      <c r="T133" s="15"/>
      <c r="U133" s="15"/>
      <c r="V133" s="15"/>
      <c r="W133" s="14">
        <f t="shared" si="13"/>
        <v>0</v>
      </c>
    </row>
    <row r="134" spans="1:23">
      <c r="A134" s="9"/>
      <c r="B134" s="9" t="s">
        <v>42</v>
      </c>
      <c r="C134" s="9" t="s">
        <v>84</v>
      </c>
      <c r="D134" s="15"/>
      <c r="E134" s="15"/>
      <c r="F134" s="15"/>
      <c r="G134" s="15"/>
      <c r="H134" s="14">
        <f t="shared" si="10"/>
        <v>0</v>
      </c>
      <c r="I134" s="15"/>
      <c r="J134" s="15"/>
      <c r="K134" s="15"/>
      <c r="L134" s="15"/>
      <c r="M134" s="14">
        <f t="shared" si="11"/>
        <v>0</v>
      </c>
      <c r="N134" s="15"/>
      <c r="O134" s="15"/>
      <c r="P134" s="15"/>
      <c r="Q134" s="15"/>
      <c r="R134" s="14">
        <f t="shared" si="12"/>
        <v>0</v>
      </c>
      <c r="S134" s="15"/>
      <c r="T134" s="15"/>
      <c r="U134" s="15"/>
      <c r="V134" s="15"/>
      <c r="W134" s="14">
        <f t="shared" si="13"/>
        <v>0</v>
      </c>
    </row>
    <row r="135" spans="1:23">
      <c r="A135" s="9"/>
      <c r="B135" s="9" t="s">
        <v>44</v>
      </c>
      <c r="C135" s="9" t="s">
        <v>85</v>
      </c>
      <c r="D135" s="15"/>
      <c r="E135" s="18"/>
      <c r="F135" s="18"/>
      <c r="G135" s="18"/>
      <c r="H135" s="14">
        <f t="shared" si="10"/>
        <v>0</v>
      </c>
      <c r="I135" s="18"/>
      <c r="J135" s="18"/>
      <c r="K135" s="18"/>
      <c r="L135" s="18"/>
      <c r="M135" s="19">
        <f t="shared" si="11"/>
        <v>0</v>
      </c>
      <c r="N135" s="18"/>
      <c r="O135" s="18"/>
      <c r="P135" s="18"/>
      <c r="Q135" s="18"/>
      <c r="R135" s="14">
        <f t="shared" si="12"/>
        <v>0</v>
      </c>
      <c r="S135" s="18"/>
      <c r="T135" s="18"/>
      <c r="U135" s="18"/>
      <c r="V135" s="18"/>
      <c r="W135" s="14">
        <f t="shared" si="13"/>
        <v>0</v>
      </c>
    </row>
    <row r="136" spans="1:23">
      <c r="A136" s="8" t="s">
        <v>8</v>
      </c>
      <c r="B136" s="27" t="s">
        <v>86</v>
      </c>
      <c r="C136" s="28"/>
      <c r="D136" s="13">
        <f>SUM(D137,D138)</f>
        <v>0</v>
      </c>
      <c r="E136" s="13">
        <f>SUM(E137,E138)</f>
        <v>0</v>
      </c>
      <c r="F136" s="13">
        <f>SUM(F137,F138)</f>
        <v>0</v>
      </c>
      <c r="G136" s="13">
        <f>SUM(G137,G138)</f>
        <v>0</v>
      </c>
      <c r="H136" s="14">
        <f t="shared" si="10"/>
        <v>0</v>
      </c>
      <c r="I136" s="13">
        <f>SUM(I137,I138)</f>
        <v>0</v>
      </c>
      <c r="J136" s="13">
        <f>SUM(J137,J138)</f>
        <v>0</v>
      </c>
      <c r="K136" s="13">
        <f>SUM(K137,K138)</f>
        <v>0</v>
      </c>
      <c r="L136" s="13">
        <f>SUM(L137,L138)</f>
        <v>0</v>
      </c>
      <c r="M136" s="19">
        <f t="shared" si="11"/>
        <v>0</v>
      </c>
      <c r="N136" s="13">
        <f>SUM(N137,N138)</f>
        <v>0</v>
      </c>
      <c r="O136" s="13">
        <f>SUM(O137,O138)</f>
        <v>0</v>
      </c>
      <c r="P136" s="13">
        <f>SUM(P137,P138)</f>
        <v>0</v>
      </c>
      <c r="Q136" s="13">
        <f>SUM(Q137,Q138)</f>
        <v>0</v>
      </c>
      <c r="R136" s="14">
        <f t="shared" si="12"/>
        <v>0</v>
      </c>
      <c r="S136" s="13">
        <f>SUM(S137,S138)</f>
        <v>0</v>
      </c>
      <c r="T136" s="13">
        <f>SUM(T137,T138)</f>
        <v>0</v>
      </c>
      <c r="U136" s="13">
        <f>SUM(U137,U138)</f>
        <v>0</v>
      </c>
      <c r="V136" s="13">
        <f>SUM(V137,V138)</f>
        <v>0</v>
      </c>
      <c r="W136" s="14">
        <f t="shared" si="13"/>
        <v>0</v>
      </c>
    </row>
    <row r="137" spans="1:23">
      <c r="A137" s="9"/>
      <c r="B137" s="9" t="s">
        <v>14</v>
      </c>
      <c r="C137" s="9" t="s">
        <v>87</v>
      </c>
      <c r="D137" s="15"/>
      <c r="E137" s="16"/>
      <c r="F137" s="16"/>
      <c r="G137" s="16"/>
      <c r="H137" s="14">
        <f t="shared" si="10"/>
        <v>0</v>
      </c>
      <c r="I137" s="16"/>
      <c r="J137" s="16"/>
      <c r="K137" s="16"/>
      <c r="L137" s="16"/>
      <c r="M137" s="19">
        <f t="shared" si="11"/>
        <v>0</v>
      </c>
      <c r="N137" s="16"/>
      <c r="O137" s="16"/>
      <c r="P137" s="16"/>
      <c r="Q137" s="16"/>
      <c r="R137" s="14">
        <f t="shared" si="12"/>
        <v>0</v>
      </c>
      <c r="S137" s="16"/>
      <c r="T137" s="16"/>
      <c r="U137" s="16"/>
      <c r="V137" s="16"/>
      <c r="W137" s="14">
        <f t="shared" si="13"/>
        <v>0</v>
      </c>
    </row>
    <row r="138" spans="1:23">
      <c r="A138" s="9"/>
      <c r="B138" s="9" t="s">
        <v>23</v>
      </c>
      <c r="C138" s="9" t="s">
        <v>88</v>
      </c>
      <c r="D138" s="15"/>
      <c r="E138" s="15"/>
      <c r="F138" s="15"/>
      <c r="G138" s="15"/>
      <c r="H138" s="14">
        <f t="shared" si="10"/>
        <v>0</v>
      </c>
      <c r="I138" s="15"/>
      <c r="J138" s="15"/>
      <c r="K138" s="15"/>
      <c r="L138" s="15"/>
      <c r="M138" s="19">
        <f t="shared" si="11"/>
        <v>0</v>
      </c>
      <c r="N138" s="15"/>
      <c r="O138" s="15"/>
      <c r="P138" s="15"/>
      <c r="Q138" s="15"/>
      <c r="R138" s="14">
        <f t="shared" si="12"/>
        <v>0</v>
      </c>
      <c r="S138" s="15"/>
      <c r="T138" s="15"/>
      <c r="U138" s="15"/>
      <c r="V138" s="15"/>
      <c r="W138" s="14">
        <f t="shared" si="13"/>
        <v>0</v>
      </c>
    </row>
    <row r="139" spans="1:23">
      <c r="A139" s="8" t="s">
        <v>89</v>
      </c>
      <c r="B139" s="27" t="s">
        <v>90</v>
      </c>
      <c r="C139" s="28"/>
      <c r="D139" s="13"/>
      <c r="E139" s="13"/>
      <c r="F139" s="13"/>
      <c r="G139" s="13"/>
      <c r="H139" s="14">
        <f t="shared" si="10"/>
        <v>0</v>
      </c>
      <c r="I139" s="13"/>
      <c r="J139" s="13"/>
      <c r="K139" s="13"/>
      <c r="L139" s="13"/>
      <c r="M139" s="14">
        <f t="shared" si="11"/>
        <v>0</v>
      </c>
      <c r="N139" s="13"/>
      <c r="O139" s="13"/>
      <c r="P139" s="13"/>
      <c r="Q139" s="13"/>
      <c r="R139" s="14">
        <f t="shared" si="12"/>
        <v>0</v>
      </c>
      <c r="S139" s="13"/>
      <c r="T139" s="13"/>
      <c r="U139" s="13"/>
      <c r="V139" s="13"/>
      <c r="W139" s="14">
        <f t="shared" si="13"/>
        <v>0</v>
      </c>
    </row>
    <row r="140" spans="1:23">
      <c r="A140" s="8" t="s">
        <v>91</v>
      </c>
      <c r="B140" s="27" t="s">
        <v>92</v>
      </c>
      <c r="C140" s="28"/>
      <c r="D140" s="13">
        <f>SUM(D141,D142,D143,D144)</f>
        <v>0</v>
      </c>
      <c r="E140" s="13">
        <f>SUM(E141,E142,E143,E144)</f>
        <v>0</v>
      </c>
      <c r="F140" s="13">
        <f>SUM(F141,F142,F143,F144)</f>
        <v>0</v>
      </c>
      <c r="G140" s="13">
        <f>SUM(G141,G142,G143,G144)</f>
        <v>0</v>
      </c>
      <c r="H140" s="14">
        <f t="shared" si="10"/>
        <v>0</v>
      </c>
      <c r="I140" s="13">
        <f>SUM(I141,I142,I143,I144)</f>
        <v>0</v>
      </c>
      <c r="J140" s="13">
        <f>SUM(J141,J142,J143,J144)</f>
        <v>0</v>
      </c>
      <c r="K140" s="13">
        <f>SUM(K141,K142,K143,K144)</f>
        <v>0</v>
      </c>
      <c r="L140" s="13">
        <f>SUM(L141,L142,L143,L144)</f>
        <v>0</v>
      </c>
      <c r="M140" s="14">
        <f t="shared" si="11"/>
        <v>0</v>
      </c>
      <c r="N140" s="13">
        <f>SUM(N141,N142,N143,N144)</f>
        <v>0</v>
      </c>
      <c r="O140" s="13">
        <f>SUM(O141,O142,O143,O144)</f>
        <v>0</v>
      </c>
      <c r="P140" s="13">
        <f>SUM(P141,P142,P143,P144)</f>
        <v>0</v>
      </c>
      <c r="Q140" s="13">
        <f>SUM(Q141,Q142,Q143,Q144)</f>
        <v>0</v>
      </c>
      <c r="R140" s="14">
        <f t="shared" si="12"/>
        <v>0</v>
      </c>
      <c r="S140" s="13">
        <f>SUM(S141,S142,S143,S144)</f>
        <v>0</v>
      </c>
      <c r="T140" s="13">
        <f>SUM(T141,T142,T143,T144)</f>
        <v>0</v>
      </c>
      <c r="U140" s="13">
        <f>SUM(U141,U142,U143,U144)</f>
        <v>0</v>
      </c>
      <c r="V140" s="13">
        <f>SUM(V141,V142,V143,V144)</f>
        <v>0</v>
      </c>
      <c r="W140" s="14">
        <f t="shared" si="13"/>
        <v>0</v>
      </c>
    </row>
    <row r="141" spans="1:23">
      <c r="A141" s="9"/>
      <c r="B141" s="9" t="s">
        <v>14</v>
      </c>
      <c r="C141" s="9" t="s">
        <v>93</v>
      </c>
      <c r="D141" s="15"/>
      <c r="E141" s="15"/>
      <c r="F141" s="15"/>
      <c r="G141" s="15"/>
      <c r="H141" s="14">
        <f t="shared" si="10"/>
        <v>0</v>
      </c>
      <c r="I141" s="15"/>
      <c r="J141" s="15"/>
      <c r="K141" s="15"/>
      <c r="L141" s="15"/>
      <c r="M141" s="14">
        <f t="shared" si="11"/>
        <v>0</v>
      </c>
      <c r="N141" s="15"/>
      <c r="O141" s="15"/>
      <c r="P141" s="15"/>
      <c r="Q141" s="15"/>
      <c r="R141" s="14">
        <f t="shared" si="12"/>
        <v>0</v>
      </c>
      <c r="S141" s="15"/>
      <c r="T141" s="15"/>
      <c r="U141" s="15"/>
      <c r="V141" s="15"/>
      <c r="W141" s="14">
        <f t="shared" si="13"/>
        <v>0</v>
      </c>
    </row>
    <row r="142" spans="1:23">
      <c r="A142" s="9"/>
      <c r="B142" s="9" t="s">
        <v>23</v>
      </c>
      <c r="C142" s="9" t="s">
        <v>94</v>
      </c>
      <c r="D142" s="15"/>
      <c r="E142" s="15"/>
      <c r="F142" s="15"/>
      <c r="G142" s="15"/>
      <c r="H142" s="14">
        <f t="shared" si="10"/>
        <v>0</v>
      </c>
      <c r="I142" s="15"/>
      <c r="J142" s="15"/>
      <c r="K142" s="15"/>
      <c r="L142" s="15"/>
      <c r="M142" s="14">
        <f t="shared" si="11"/>
        <v>0</v>
      </c>
      <c r="N142" s="15"/>
      <c r="O142" s="15"/>
      <c r="P142" s="15"/>
      <c r="Q142" s="15"/>
      <c r="R142" s="14">
        <f t="shared" si="12"/>
        <v>0</v>
      </c>
      <c r="S142" s="15"/>
      <c r="T142" s="15"/>
      <c r="U142" s="15"/>
      <c r="V142" s="15"/>
      <c r="W142" s="14">
        <f t="shared" si="13"/>
        <v>0</v>
      </c>
    </row>
    <row r="143" spans="1:23">
      <c r="A143" s="9"/>
      <c r="B143" s="9" t="s">
        <v>25</v>
      </c>
      <c r="C143" s="9" t="s">
        <v>95</v>
      </c>
      <c r="D143" s="15"/>
      <c r="E143" s="15"/>
      <c r="F143" s="15"/>
      <c r="G143" s="15"/>
      <c r="H143" s="14">
        <f t="shared" si="10"/>
        <v>0</v>
      </c>
      <c r="I143" s="15"/>
      <c r="J143" s="15"/>
      <c r="K143" s="15"/>
      <c r="L143" s="15"/>
      <c r="M143" s="14">
        <f t="shared" si="11"/>
        <v>0</v>
      </c>
      <c r="N143" s="15"/>
      <c r="O143" s="15"/>
      <c r="P143" s="15"/>
      <c r="Q143" s="15"/>
      <c r="R143" s="14">
        <f t="shared" si="12"/>
        <v>0</v>
      </c>
      <c r="S143" s="15"/>
      <c r="T143" s="15"/>
      <c r="U143" s="15"/>
      <c r="V143" s="15"/>
      <c r="W143" s="14">
        <f t="shared" si="13"/>
        <v>0</v>
      </c>
    </row>
    <row r="144" spans="1:23">
      <c r="A144" s="9"/>
      <c r="B144" s="9" t="s">
        <v>32</v>
      </c>
      <c r="C144" s="9" t="s">
        <v>96</v>
      </c>
      <c r="D144" s="15"/>
      <c r="E144" s="15"/>
      <c r="F144" s="15"/>
      <c r="G144" s="15"/>
      <c r="H144" s="14">
        <f t="shared" si="10"/>
        <v>0</v>
      </c>
      <c r="I144" s="15"/>
      <c r="J144" s="15"/>
      <c r="K144" s="15"/>
      <c r="L144" s="15"/>
      <c r="M144" s="14">
        <f t="shared" si="11"/>
        <v>0</v>
      </c>
      <c r="N144" s="15"/>
      <c r="O144" s="15"/>
      <c r="P144" s="15"/>
      <c r="Q144" s="15"/>
      <c r="R144" s="14">
        <f t="shared" si="12"/>
        <v>0</v>
      </c>
      <c r="S144" s="15"/>
      <c r="T144" s="15"/>
      <c r="U144" s="15"/>
      <c r="V144" s="15"/>
      <c r="W144" s="14">
        <f t="shared" si="13"/>
        <v>0</v>
      </c>
    </row>
    <row r="145" spans="1:23">
      <c r="A145" s="8" t="s">
        <v>97</v>
      </c>
      <c r="B145" s="27" t="s">
        <v>98</v>
      </c>
      <c r="C145" s="28"/>
      <c r="D145" s="13"/>
      <c r="E145" s="13"/>
      <c r="F145" s="13"/>
      <c r="G145" s="13"/>
      <c r="H145" s="14">
        <f t="shared" si="10"/>
        <v>0</v>
      </c>
      <c r="I145" s="13"/>
      <c r="J145" s="13"/>
      <c r="K145" s="13"/>
      <c r="L145" s="13"/>
      <c r="M145" s="14">
        <f t="shared" si="11"/>
        <v>0</v>
      </c>
      <c r="N145" s="13"/>
      <c r="O145" s="13"/>
      <c r="P145" s="13"/>
      <c r="Q145" s="13"/>
      <c r="R145" s="14">
        <f t="shared" si="12"/>
        <v>0</v>
      </c>
      <c r="S145" s="13"/>
      <c r="T145" s="13"/>
      <c r="U145" s="13"/>
      <c r="V145" s="13"/>
      <c r="W145" s="14">
        <f t="shared" si="13"/>
        <v>0</v>
      </c>
    </row>
    <row r="146" spans="1:23">
      <c r="A146" s="8" t="s">
        <v>99</v>
      </c>
      <c r="B146" s="27" t="s">
        <v>100</v>
      </c>
      <c r="C146" s="28"/>
      <c r="D146" s="13"/>
      <c r="E146" s="13"/>
      <c r="F146" s="13"/>
      <c r="G146" s="13"/>
      <c r="H146" s="14">
        <f t="shared" si="10"/>
        <v>0</v>
      </c>
      <c r="I146" s="13"/>
      <c r="J146" s="13"/>
      <c r="K146" s="13"/>
      <c r="L146" s="13"/>
      <c r="M146" s="14">
        <f t="shared" si="11"/>
        <v>0</v>
      </c>
      <c r="N146" s="13"/>
      <c r="O146" s="13"/>
      <c r="P146" s="13"/>
      <c r="Q146" s="13"/>
      <c r="R146" s="14">
        <f t="shared" si="12"/>
        <v>0</v>
      </c>
      <c r="S146" s="13"/>
      <c r="T146" s="13"/>
      <c r="U146" s="13"/>
      <c r="V146" s="13"/>
      <c r="W146" s="14">
        <f t="shared" si="13"/>
        <v>0</v>
      </c>
    </row>
    <row r="147" spans="1:23">
      <c r="A147" s="8" t="s">
        <v>101</v>
      </c>
      <c r="B147" s="27" t="s">
        <v>102</v>
      </c>
      <c r="C147" s="28"/>
      <c r="D147" s="13"/>
      <c r="E147" s="13"/>
      <c r="F147" s="13"/>
      <c r="G147" s="13"/>
      <c r="H147" s="14">
        <f t="shared" si="10"/>
        <v>0</v>
      </c>
      <c r="I147" s="13"/>
      <c r="J147" s="13"/>
      <c r="K147" s="13"/>
      <c r="L147" s="13"/>
      <c r="M147" s="14">
        <f t="shared" si="11"/>
        <v>0</v>
      </c>
      <c r="N147" s="13"/>
      <c r="O147" s="13"/>
      <c r="P147" s="13"/>
      <c r="Q147" s="13"/>
      <c r="R147" s="14">
        <f t="shared" si="12"/>
        <v>0</v>
      </c>
      <c r="S147" s="13"/>
      <c r="T147" s="13"/>
      <c r="U147" s="13"/>
      <c r="V147" s="13"/>
      <c r="W147" s="14">
        <f t="shared" si="13"/>
        <v>0</v>
      </c>
    </row>
    <row r="148" spans="1:23">
      <c r="A148" s="8" t="s">
        <v>103</v>
      </c>
      <c r="B148" s="27" t="s">
        <v>104</v>
      </c>
      <c r="C148" s="27"/>
      <c r="D148" s="20"/>
      <c r="E148" s="13"/>
      <c r="F148" s="13"/>
      <c r="G148" s="13"/>
      <c r="H148" s="14">
        <f t="shared" si="10"/>
        <v>0</v>
      </c>
      <c r="I148" s="13"/>
      <c r="J148" s="13"/>
      <c r="K148" s="13"/>
      <c r="L148" s="13"/>
      <c r="M148" s="14">
        <f t="shared" si="11"/>
        <v>0</v>
      </c>
      <c r="N148" s="13"/>
      <c r="O148" s="13"/>
      <c r="P148" s="13"/>
      <c r="Q148" s="13"/>
      <c r="R148" s="14">
        <f t="shared" si="12"/>
        <v>0</v>
      </c>
      <c r="S148" s="13"/>
      <c r="T148" s="13"/>
      <c r="U148" s="13"/>
      <c r="V148" s="13"/>
      <c r="W148" s="14">
        <f t="shared" si="13"/>
        <v>0</v>
      </c>
    </row>
    <row r="149" spans="1:23">
      <c r="A149" s="8" t="s">
        <v>105</v>
      </c>
      <c r="B149" s="27" t="s">
        <v>106</v>
      </c>
      <c r="C149" s="27"/>
      <c r="D149" s="20"/>
      <c r="E149" s="13"/>
      <c r="F149" s="13"/>
      <c r="G149" s="13"/>
      <c r="H149" s="14">
        <f t="shared" si="10"/>
        <v>0</v>
      </c>
      <c r="I149" s="13"/>
      <c r="J149" s="13"/>
      <c r="K149" s="13"/>
      <c r="L149" s="13"/>
      <c r="M149" s="14">
        <f t="shared" si="11"/>
        <v>0</v>
      </c>
      <c r="N149" s="13"/>
      <c r="O149" s="13"/>
      <c r="P149" s="13"/>
      <c r="Q149" s="13"/>
      <c r="R149" s="14">
        <f t="shared" si="12"/>
        <v>0</v>
      </c>
      <c r="S149" s="13"/>
      <c r="T149" s="13"/>
      <c r="U149" s="13"/>
      <c r="V149" s="13"/>
      <c r="W149" s="14">
        <f t="shared" si="13"/>
        <v>0</v>
      </c>
    </row>
    <row r="150" spans="1:23">
      <c r="A150" s="8" t="s">
        <v>107</v>
      </c>
      <c r="B150" s="27" t="s">
        <v>108</v>
      </c>
      <c r="C150" s="27"/>
      <c r="D150" s="20"/>
      <c r="E150" s="13"/>
      <c r="F150" s="13"/>
      <c r="G150" s="13"/>
      <c r="H150" s="14">
        <f t="shared" ref="H150:H152" si="14">SUM(D150:G150)</f>
        <v>0</v>
      </c>
      <c r="I150" s="13"/>
      <c r="J150" s="13"/>
      <c r="K150" s="13"/>
      <c r="L150" s="13"/>
      <c r="M150" s="14">
        <f t="shared" ref="M150:M152" si="15">SUM(I150:L150)</f>
        <v>0</v>
      </c>
      <c r="N150" s="13"/>
      <c r="O150" s="13"/>
      <c r="P150" s="13"/>
      <c r="Q150" s="13"/>
      <c r="R150" s="14">
        <f t="shared" ref="R150:R152" si="16">SUM(N150:Q150)</f>
        <v>0</v>
      </c>
      <c r="S150" s="13"/>
      <c r="T150" s="13"/>
      <c r="U150" s="13"/>
      <c r="V150" s="13"/>
      <c r="W150" s="14">
        <f t="shared" ref="W150:W152" si="17">SUM(S150:V150)</f>
        <v>0</v>
      </c>
    </row>
    <row r="151" spans="1:23">
      <c r="A151" s="34" t="s">
        <v>109</v>
      </c>
      <c r="B151" s="34"/>
      <c r="C151" s="34"/>
      <c r="D151" s="21">
        <f>SUM(D86,D97,D102,D121,D124,D125,D126,D129,D136,D139,D140,D145,D146,D147,D148,D149,D150)</f>
        <v>0</v>
      </c>
      <c r="E151" s="21">
        <f>SUM(E86,E97,E102,E121,E124,E125,E126,E129,E136,E139,E140,E145,E146,E147,E148,E149,E150)</f>
        <v>0</v>
      </c>
      <c r="F151" s="21">
        <f>SUM(F86,F97,F102,F121,F124,F125,F126,F129,F136,F139,F140,F145,F146,F147,F148,F149,F150)</f>
        <v>0</v>
      </c>
      <c r="G151" s="21">
        <f>SUM(G86,G97,G102,G121,G124,G125,G126,G129,G136,G139,G140,G145,G146,G147,G148,G149,G150)</f>
        <v>0</v>
      </c>
      <c r="H151" s="21">
        <f t="shared" si="14"/>
        <v>0</v>
      </c>
      <c r="I151" s="21">
        <f>SUM(I86,I97,I102,I121,I124,I125,I126,I129,I136,I139,I140,I145,I146,I147,I148,I149,I150)</f>
        <v>0</v>
      </c>
      <c r="J151" s="21">
        <f>SUM(J86,J97,J102,J121,J124,J125,J126,J129,J136,J139,J140,J145,J146,J147,J148,J149,J150)</f>
        <v>0</v>
      </c>
      <c r="K151" s="21">
        <f>SUM(K86,K97,K102,K121,K124,K125,K126,K129,K136,K139,K140,K145,K146,K147,K148,K149,K150)</f>
        <v>0</v>
      </c>
      <c r="L151" s="21">
        <f>SUM(L86,L97,L102,L121,L124,L125,L126,L129,L136,L139,L140,L145,L146,L147,L148,L149,L150)</f>
        <v>0</v>
      </c>
      <c r="M151" s="21">
        <f t="shared" si="15"/>
        <v>0</v>
      </c>
      <c r="N151" s="21">
        <f>SUM(N86,N97,N102,N121,N124,N125,N126,N129,N136,N139,N140,N145,N146,N147,N148,N149,N150)</f>
        <v>0</v>
      </c>
      <c r="O151" s="21">
        <f>SUM(O86,O97,O102,O121,O124,O125,O126,O129,O136,O139,O140,O145,O146,O147,O148,O149,O150)</f>
        <v>0</v>
      </c>
      <c r="P151" s="21">
        <f>SUM(P86,P97,P102,P121,P124,P125,P126,P129,P136,P139,P140,P145,P146,P147,P148,P149,P150)</f>
        <v>0</v>
      </c>
      <c r="Q151" s="21">
        <f>SUM(Q86,Q97,Q102,Q121,Q124,Q125,Q126,Q129,Q136,Q139,Q140,Q145,Q146,Q147,Q148,Q149,Q150)</f>
        <v>0</v>
      </c>
      <c r="R151" s="21">
        <f t="shared" si="16"/>
        <v>0</v>
      </c>
      <c r="S151" s="21">
        <f>SUM(S86,S97,S102,S121,S124,S125,S126,S129,S136,S139,S140,S145,S146,S147,S148,S149,S150)</f>
        <v>0</v>
      </c>
      <c r="T151" s="21">
        <f>SUM(T86,T97,T102,T121,T124,T125,T126,T129,T136,T139,T140,T145,T146,T147,T148,T149,T150)</f>
        <v>0</v>
      </c>
      <c r="U151" s="21">
        <f>SUM(U86,U97,U102,U121,U124,U125,U126,U129,U136,U139,U140,U145,U146,U147,U148,U149,U150)</f>
        <v>0</v>
      </c>
      <c r="V151" s="21">
        <f>SUM(V86,V97,V102,V121,V124,V125,V126,V129,V136,V139,V140,V145,V146,V147,V148,V149,V150)</f>
        <v>0</v>
      </c>
      <c r="W151" s="21">
        <f t="shared" si="17"/>
        <v>0</v>
      </c>
    </row>
    <row r="152" spans="1:23">
      <c r="A152" s="34" t="s">
        <v>110</v>
      </c>
      <c r="B152" s="34"/>
      <c r="C152" s="34"/>
      <c r="D152" s="21">
        <f>D151-D98-D105</f>
        <v>0</v>
      </c>
      <c r="E152" s="21">
        <f>E151-E98-E105</f>
        <v>0</v>
      </c>
      <c r="F152" s="21">
        <f>F151-F98-F105</f>
        <v>0</v>
      </c>
      <c r="G152" s="21">
        <f>G151-G98-G105</f>
        <v>0</v>
      </c>
      <c r="H152" s="21">
        <f t="shared" si="14"/>
        <v>0</v>
      </c>
      <c r="I152" s="21">
        <f>I151-I98-I105</f>
        <v>0</v>
      </c>
      <c r="J152" s="21">
        <f>J151-J98-J105</f>
        <v>0</v>
      </c>
      <c r="K152" s="21">
        <f>K151-K98-K105</f>
        <v>0</v>
      </c>
      <c r="L152" s="21">
        <f>L151-L98-L105</f>
        <v>0</v>
      </c>
      <c r="M152" s="21">
        <f t="shared" si="15"/>
        <v>0</v>
      </c>
      <c r="N152" s="21">
        <f>N151-N98-N105</f>
        <v>0</v>
      </c>
      <c r="O152" s="21">
        <f>O151-O98-O105</f>
        <v>0</v>
      </c>
      <c r="P152" s="21">
        <f>P151-P98-P105</f>
        <v>0</v>
      </c>
      <c r="Q152" s="21">
        <f>Q151-Q98-Q105</f>
        <v>0</v>
      </c>
      <c r="R152" s="21">
        <f t="shared" si="16"/>
        <v>0</v>
      </c>
      <c r="S152" s="21">
        <f>S151-S98-S105</f>
        <v>0</v>
      </c>
      <c r="T152" s="21">
        <f>T151-T98-T105</f>
        <v>0</v>
      </c>
      <c r="U152" s="21">
        <f>U151-U98-U105</f>
        <v>0</v>
      </c>
      <c r="V152" s="21">
        <f>V151-V98-V105</f>
        <v>0</v>
      </c>
      <c r="W152" s="21">
        <f t="shared" si="17"/>
        <v>0</v>
      </c>
    </row>
  </sheetData>
  <mergeCells count="54">
    <mergeCell ref="A152:C152"/>
    <mergeCell ref="B146:C146"/>
    <mergeCell ref="B147:C147"/>
    <mergeCell ref="B148:C148"/>
    <mergeCell ref="B149:C149"/>
    <mergeCell ref="B150:C150"/>
    <mergeCell ref="A151:C151"/>
    <mergeCell ref="B145:C145"/>
    <mergeCell ref="B86:C86"/>
    <mergeCell ref="B97:C97"/>
    <mergeCell ref="B102:C102"/>
    <mergeCell ref="B121:C121"/>
    <mergeCell ref="B124:C124"/>
    <mergeCell ref="B125:C125"/>
    <mergeCell ref="B126:C126"/>
    <mergeCell ref="B129:C129"/>
    <mergeCell ref="B136:C136"/>
    <mergeCell ref="B139:C139"/>
    <mergeCell ref="B140:C140"/>
    <mergeCell ref="A75:C75"/>
    <mergeCell ref="A78:W78"/>
    <mergeCell ref="A79:B79"/>
    <mergeCell ref="A81:A82"/>
    <mergeCell ref="B81:C82"/>
    <mergeCell ref="D81:H81"/>
    <mergeCell ref="I81:M81"/>
    <mergeCell ref="N81:R81"/>
    <mergeCell ref="S81:W81"/>
    <mergeCell ref="A74:C74"/>
    <mergeCell ref="B49:C49"/>
    <mergeCell ref="B52:C52"/>
    <mergeCell ref="B59:C59"/>
    <mergeCell ref="B62:C62"/>
    <mergeCell ref="B63:C63"/>
    <mergeCell ref="B68:C68"/>
    <mergeCell ref="B69:C69"/>
    <mergeCell ref="B70:C70"/>
    <mergeCell ref="B71:C71"/>
    <mergeCell ref="B72:C72"/>
    <mergeCell ref="B73:C73"/>
    <mergeCell ref="B48:C48"/>
    <mergeCell ref="A1:W1"/>
    <mergeCell ref="A2:B2"/>
    <mergeCell ref="A4:A5"/>
    <mergeCell ref="B4:C5"/>
    <mergeCell ref="D4:H4"/>
    <mergeCell ref="I4:M4"/>
    <mergeCell ref="N4:R4"/>
    <mergeCell ref="S4:W4"/>
    <mergeCell ref="B9:C9"/>
    <mergeCell ref="B20:C20"/>
    <mergeCell ref="B25:C25"/>
    <mergeCell ref="B44:C44"/>
    <mergeCell ref="B47:C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301D-619E-4C6D-ACBB-99FE3A2E021E}">
  <dimension ref="A1:W56"/>
  <sheetViews>
    <sheetView zoomScale="50" zoomScaleNormal="50" workbookViewId="0">
      <selection activeCell="C31" sqref="C31"/>
    </sheetView>
  </sheetViews>
  <sheetFormatPr defaultRowHeight="14.25"/>
  <cols>
    <col min="1" max="1" width="10.75" customWidth="1"/>
    <col min="2" max="2" width="3.25" customWidth="1"/>
    <col min="3" max="3" width="84.75" customWidth="1"/>
    <col min="4" max="7" width="9.875" customWidth="1"/>
    <col min="8" max="8" width="10.25" customWidth="1"/>
    <col min="9" max="12" width="9.875" customWidth="1"/>
    <col min="13" max="13" width="10.25" customWidth="1"/>
    <col min="14" max="17" width="9.875" customWidth="1"/>
    <col min="18" max="18" width="10.25" customWidth="1"/>
    <col min="19" max="22" width="9.875" customWidth="1"/>
    <col min="23" max="23" width="10.25" customWidth="1"/>
  </cols>
  <sheetData>
    <row r="1" spans="1:23" ht="15">
      <c r="A1" s="29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">
      <c r="A2" s="30" t="s">
        <v>1</v>
      </c>
      <c r="B2" s="3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>
      <c r="A4" s="31" t="s">
        <v>2</v>
      </c>
      <c r="B4" s="32" t="s">
        <v>3</v>
      </c>
      <c r="C4" s="32"/>
      <c r="D4" s="33" t="s">
        <v>4</v>
      </c>
      <c r="E4" s="33"/>
      <c r="F4" s="33"/>
      <c r="G4" s="33"/>
      <c r="H4" s="33"/>
      <c r="I4" s="33" t="s">
        <v>5</v>
      </c>
      <c r="J4" s="33"/>
      <c r="K4" s="33"/>
      <c r="L4" s="33"/>
      <c r="M4" s="33"/>
      <c r="N4" s="33" t="s">
        <v>6</v>
      </c>
      <c r="O4" s="33"/>
      <c r="P4" s="33"/>
      <c r="Q4" s="33"/>
      <c r="R4" s="33"/>
      <c r="S4" s="33" t="s">
        <v>7</v>
      </c>
      <c r="T4" s="33"/>
      <c r="U4" s="33"/>
      <c r="V4" s="33"/>
      <c r="W4" s="33"/>
    </row>
    <row r="5" spans="1:23" ht="15">
      <c r="A5" s="31"/>
      <c r="B5" s="32"/>
      <c r="C5" s="32"/>
      <c r="D5" s="3" t="s">
        <v>8</v>
      </c>
      <c r="E5" s="3" t="s">
        <v>9</v>
      </c>
      <c r="F5" s="3" t="s">
        <v>10</v>
      </c>
      <c r="G5" s="3" t="s">
        <v>11</v>
      </c>
      <c r="H5" s="3" t="s">
        <v>4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128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128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128</v>
      </c>
    </row>
    <row r="6" spans="1:23">
      <c r="A6" s="1"/>
      <c r="B6" s="1"/>
      <c r="C6" s="1"/>
      <c r="D6" s="1"/>
      <c r="E6" s="1"/>
      <c r="F6" s="1"/>
      <c r="G6" s="1"/>
      <c r="H6" s="6"/>
      <c r="I6" s="1"/>
      <c r="J6" s="1"/>
      <c r="K6" s="1"/>
      <c r="L6" s="1"/>
      <c r="M6" s="6"/>
      <c r="N6" s="1"/>
      <c r="O6" s="1"/>
      <c r="P6" s="1"/>
      <c r="Q6" s="1"/>
      <c r="R6" s="6"/>
      <c r="S6" s="1"/>
      <c r="T6" s="1"/>
      <c r="U6" s="1"/>
      <c r="V6" s="1"/>
      <c r="W6" s="6"/>
    </row>
    <row r="7" spans="1:23">
      <c r="A7" s="4">
        <v>1</v>
      </c>
      <c r="B7" s="11"/>
      <c r="C7" s="4">
        <f>A7+1</f>
        <v>2</v>
      </c>
      <c r="D7" s="4">
        <f>C7+1</f>
        <v>3</v>
      </c>
      <c r="E7" s="4">
        <f t="shared" ref="E7:W7" si="0">D7+1</f>
        <v>4</v>
      </c>
      <c r="F7" s="4">
        <f t="shared" si="0"/>
        <v>5</v>
      </c>
      <c r="G7" s="4">
        <f t="shared" si="0"/>
        <v>6</v>
      </c>
      <c r="H7" s="7">
        <f t="shared" si="0"/>
        <v>7</v>
      </c>
      <c r="I7" s="4">
        <f t="shared" si="0"/>
        <v>8</v>
      </c>
      <c r="J7" s="4">
        <f t="shared" si="0"/>
        <v>9</v>
      </c>
      <c r="K7" s="4">
        <f t="shared" si="0"/>
        <v>10</v>
      </c>
      <c r="L7" s="4">
        <f t="shared" si="0"/>
        <v>11</v>
      </c>
      <c r="M7" s="7">
        <f t="shared" si="0"/>
        <v>12</v>
      </c>
      <c r="N7" s="4">
        <f t="shared" si="0"/>
        <v>13</v>
      </c>
      <c r="O7" s="4">
        <f t="shared" si="0"/>
        <v>14</v>
      </c>
      <c r="P7" s="4">
        <f t="shared" si="0"/>
        <v>15</v>
      </c>
      <c r="Q7" s="4">
        <f t="shared" si="0"/>
        <v>16</v>
      </c>
      <c r="R7" s="7">
        <f t="shared" si="0"/>
        <v>17</v>
      </c>
      <c r="S7" s="4">
        <f t="shared" si="0"/>
        <v>18</v>
      </c>
      <c r="T7" s="4">
        <f t="shared" si="0"/>
        <v>19</v>
      </c>
      <c r="U7" s="4">
        <f t="shared" si="0"/>
        <v>20</v>
      </c>
      <c r="V7" s="4">
        <f t="shared" si="0"/>
        <v>21</v>
      </c>
      <c r="W7" s="7">
        <f t="shared" si="0"/>
        <v>22</v>
      </c>
    </row>
    <row r="8" spans="1:23">
      <c r="A8" s="9"/>
      <c r="B8" s="9"/>
      <c r="C8" s="9"/>
      <c r="D8" s="9"/>
      <c r="E8" s="9"/>
      <c r="F8" s="9"/>
      <c r="G8" s="9"/>
      <c r="H8" s="10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9"/>
      <c r="U8" s="9"/>
      <c r="V8" s="9"/>
      <c r="W8" s="10"/>
    </row>
    <row r="9" spans="1:23">
      <c r="A9" s="8" t="s">
        <v>12</v>
      </c>
      <c r="B9" s="27" t="s">
        <v>13</v>
      </c>
      <c r="C9" s="28"/>
      <c r="D9" s="13"/>
      <c r="E9" s="13"/>
      <c r="F9" s="13"/>
      <c r="G9" s="13"/>
      <c r="H9" s="14"/>
      <c r="I9" s="13"/>
      <c r="J9" s="13"/>
      <c r="K9" s="13"/>
      <c r="L9" s="13"/>
      <c r="M9" s="14"/>
      <c r="N9" s="13"/>
      <c r="O9" s="13"/>
      <c r="P9" s="13"/>
      <c r="Q9" s="13"/>
      <c r="R9" s="14"/>
      <c r="S9" s="13"/>
      <c r="T9" s="13"/>
      <c r="U9" s="13"/>
      <c r="V9" s="13"/>
      <c r="W9" s="14"/>
    </row>
    <row r="10" spans="1:23">
      <c r="A10" s="8" t="s">
        <v>27</v>
      </c>
      <c r="B10" s="27" t="s">
        <v>28</v>
      </c>
      <c r="C10" s="28"/>
      <c r="D10" s="13"/>
      <c r="E10" s="13"/>
      <c r="F10" s="13"/>
      <c r="G10" s="13"/>
      <c r="H10" s="14"/>
      <c r="I10" s="13"/>
      <c r="J10" s="13"/>
      <c r="K10" s="13"/>
      <c r="L10" s="13"/>
      <c r="M10" s="14"/>
      <c r="N10" s="13"/>
      <c r="O10" s="13"/>
      <c r="P10" s="13"/>
      <c r="Q10" s="13"/>
      <c r="R10" s="14"/>
      <c r="S10" s="13"/>
      <c r="T10" s="13"/>
      <c r="U10" s="13"/>
      <c r="V10" s="13"/>
      <c r="W10" s="14"/>
    </row>
    <row r="11" spans="1:23">
      <c r="A11" s="8" t="s">
        <v>34</v>
      </c>
      <c r="B11" s="27" t="s">
        <v>35</v>
      </c>
      <c r="C11" s="28"/>
      <c r="D11" s="13"/>
      <c r="E11" s="13"/>
      <c r="F11" s="13"/>
      <c r="G11" s="13"/>
      <c r="H11" s="14"/>
      <c r="I11" s="13"/>
      <c r="J11" s="13"/>
      <c r="K11" s="13"/>
      <c r="L11" s="13"/>
      <c r="M11" s="14"/>
      <c r="N11" s="13"/>
      <c r="O11" s="13"/>
      <c r="P11" s="13"/>
      <c r="Q11" s="13"/>
      <c r="R11" s="14"/>
      <c r="S11" s="13"/>
      <c r="T11" s="13"/>
      <c r="U11" s="13"/>
      <c r="V11" s="13"/>
      <c r="W11" s="14"/>
    </row>
    <row r="12" spans="1:23">
      <c r="A12" s="8" t="s">
        <v>66</v>
      </c>
      <c r="B12" s="27" t="s">
        <v>67</v>
      </c>
      <c r="C12" s="28"/>
      <c r="D12" s="13"/>
      <c r="E12" s="13"/>
      <c r="F12" s="13"/>
      <c r="G12" s="13"/>
      <c r="H12" s="14"/>
      <c r="I12" s="13"/>
      <c r="J12" s="13"/>
      <c r="K12" s="13"/>
      <c r="L12" s="13"/>
      <c r="M12" s="14"/>
      <c r="N12" s="13"/>
      <c r="O12" s="13"/>
      <c r="P12" s="13"/>
      <c r="Q12" s="13"/>
      <c r="R12" s="14"/>
      <c r="S12" s="13"/>
      <c r="T12" s="13"/>
      <c r="U12" s="13"/>
      <c r="V12" s="13"/>
      <c r="W12" s="14"/>
    </row>
    <row r="13" spans="1:23">
      <c r="A13" s="8" t="s">
        <v>70</v>
      </c>
      <c r="B13" s="27" t="s">
        <v>71</v>
      </c>
      <c r="C13" s="28"/>
      <c r="D13" s="13"/>
      <c r="E13" s="13"/>
      <c r="F13" s="13"/>
      <c r="G13" s="13"/>
      <c r="H13" s="14"/>
      <c r="I13" s="13"/>
      <c r="J13" s="13"/>
      <c r="K13" s="13"/>
      <c r="L13" s="13"/>
      <c r="M13" s="14"/>
      <c r="N13" s="13"/>
      <c r="O13" s="13"/>
      <c r="P13" s="13"/>
      <c r="Q13" s="13"/>
      <c r="R13" s="14"/>
      <c r="S13" s="13"/>
      <c r="T13" s="13"/>
      <c r="U13" s="13"/>
      <c r="V13" s="13"/>
      <c r="W13" s="14"/>
    </row>
    <row r="14" spans="1:23">
      <c r="A14" s="8" t="s">
        <v>72</v>
      </c>
      <c r="B14" s="27" t="s">
        <v>73</v>
      </c>
      <c r="C14" s="28"/>
      <c r="D14" s="13"/>
      <c r="E14" s="13"/>
      <c r="F14" s="13"/>
      <c r="G14" s="13"/>
      <c r="H14" s="14"/>
      <c r="I14" s="13"/>
      <c r="J14" s="13"/>
      <c r="K14" s="13"/>
      <c r="L14" s="13"/>
      <c r="M14" s="14"/>
      <c r="N14" s="13"/>
      <c r="O14" s="13"/>
      <c r="P14" s="13"/>
      <c r="Q14" s="13"/>
      <c r="R14" s="14"/>
      <c r="S14" s="13"/>
      <c r="T14" s="13"/>
      <c r="U14" s="13"/>
      <c r="V14" s="13"/>
      <c r="W14" s="14"/>
    </row>
    <row r="15" spans="1:23">
      <c r="A15" s="8" t="s">
        <v>74</v>
      </c>
      <c r="B15" s="27" t="s">
        <v>75</v>
      </c>
      <c r="C15" s="28"/>
      <c r="D15" s="13"/>
      <c r="E15" s="13"/>
      <c r="F15" s="13"/>
      <c r="G15" s="13"/>
      <c r="H15" s="14"/>
      <c r="I15" s="13"/>
      <c r="J15" s="13"/>
      <c r="K15" s="13"/>
      <c r="L15" s="13"/>
      <c r="M15" s="14"/>
      <c r="N15" s="13"/>
      <c r="O15" s="13"/>
      <c r="P15" s="13"/>
      <c r="Q15" s="13"/>
      <c r="R15" s="14"/>
      <c r="S15" s="13"/>
      <c r="T15" s="13"/>
      <c r="U15" s="13"/>
      <c r="V15" s="13"/>
      <c r="W15" s="14"/>
    </row>
    <row r="16" spans="1:23">
      <c r="A16" s="8" t="s">
        <v>78</v>
      </c>
      <c r="B16" s="27" t="s">
        <v>79</v>
      </c>
      <c r="C16" s="28"/>
      <c r="D16" s="13"/>
      <c r="E16" s="13"/>
      <c r="F16" s="13"/>
      <c r="G16" s="13"/>
      <c r="H16" s="14"/>
      <c r="I16" s="13"/>
      <c r="J16" s="13"/>
      <c r="K16" s="13"/>
      <c r="L16" s="13"/>
      <c r="M16" s="14"/>
      <c r="N16" s="13"/>
      <c r="O16" s="13"/>
      <c r="P16" s="13"/>
      <c r="Q16" s="13"/>
      <c r="R16" s="14"/>
      <c r="S16" s="13"/>
      <c r="T16" s="13"/>
      <c r="U16" s="13"/>
      <c r="V16" s="13"/>
      <c r="W16" s="14"/>
    </row>
    <row r="17" spans="1:23">
      <c r="A17" s="8" t="s">
        <v>8</v>
      </c>
      <c r="B17" s="27" t="s">
        <v>86</v>
      </c>
      <c r="C17" s="28"/>
      <c r="D17" s="13"/>
      <c r="E17" s="13"/>
      <c r="F17" s="13"/>
      <c r="G17" s="13"/>
      <c r="H17" s="14"/>
      <c r="I17" s="13"/>
      <c r="J17" s="13"/>
      <c r="K17" s="13"/>
      <c r="L17" s="13"/>
      <c r="M17" s="19"/>
      <c r="N17" s="13"/>
      <c r="O17" s="13"/>
      <c r="P17" s="13"/>
      <c r="Q17" s="13"/>
      <c r="R17" s="14"/>
      <c r="S17" s="13"/>
      <c r="T17" s="13"/>
      <c r="U17" s="13"/>
      <c r="V17" s="13"/>
      <c r="W17" s="14"/>
    </row>
    <row r="18" spans="1:23">
      <c r="A18" s="8" t="s">
        <v>89</v>
      </c>
      <c r="B18" s="27" t="s">
        <v>90</v>
      </c>
      <c r="C18" s="28"/>
      <c r="D18" s="13"/>
      <c r="E18" s="13"/>
      <c r="F18" s="13"/>
      <c r="G18" s="13"/>
      <c r="H18" s="14"/>
      <c r="I18" s="13"/>
      <c r="J18" s="13"/>
      <c r="K18" s="13"/>
      <c r="L18" s="13"/>
      <c r="M18" s="14"/>
      <c r="N18" s="13"/>
      <c r="O18" s="13"/>
      <c r="P18" s="13"/>
      <c r="Q18" s="13"/>
      <c r="R18" s="14"/>
      <c r="S18" s="13"/>
      <c r="T18" s="13"/>
      <c r="U18" s="13"/>
      <c r="V18" s="13"/>
      <c r="W18" s="14"/>
    </row>
    <row r="19" spans="1:23">
      <c r="A19" s="8" t="s">
        <v>91</v>
      </c>
      <c r="B19" s="27" t="s">
        <v>92</v>
      </c>
      <c r="C19" s="28"/>
      <c r="D19" s="13"/>
      <c r="E19" s="13"/>
      <c r="F19" s="13"/>
      <c r="G19" s="13"/>
      <c r="H19" s="14"/>
      <c r="I19" s="13"/>
      <c r="J19" s="13"/>
      <c r="K19" s="13"/>
      <c r="L19" s="13"/>
      <c r="M19" s="14"/>
      <c r="N19" s="13"/>
      <c r="O19" s="13"/>
      <c r="P19" s="13"/>
      <c r="Q19" s="13"/>
      <c r="R19" s="14"/>
      <c r="S19" s="13"/>
      <c r="T19" s="13"/>
      <c r="U19" s="13"/>
      <c r="V19" s="13"/>
      <c r="W19" s="14"/>
    </row>
    <row r="20" spans="1:23">
      <c r="A20" s="8" t="s">
        <v>97</v>
      </c>
      <c r="B20" s="27" t="s">
        <v>98</v>
      </c>
      <c r="C20" s="28"/>
      <c r="D20" s="13"/>
      <c r="E20" s="13"/>
      <c r="F20" s="13"/>
      <c r="G20" s="13"/>
      <c r="H20" s="14"/>
      <c r="I20" s="13"/>
      <c r="J20" s="13"/>
      <c r="K20" s="13"/>
      <c r="L20" s="13"/>
      <c r="M20" s="14"/>
      <c r="N20" s="13"/>
      <c r="O20" s="13"/>
      <c r="P20" s="13"/>
      <c r="Q20" s="13"/>
      <c r="R20" s="14"/>
      <c r="S20" s="13"/>
      <c r="T20" s="13"/>
      <c r="U20" s="13"/>
      <c r="V20" s="13"/>
      <c r="W20" s="14"/>
    </row>
    <row r="21" spans="1:23">
      <c r="A21" s="8" t="s">
        <v>99</v>
      </c>
      <c r="B21" s="27" t="s">
        <v>100</v>
      </c>
      <c r="C21" s="28"/>
      <c r="D21" s="13"/>
      <c r="E21" s="13"/>
      <c r="F21" s="13"/>
      <c r="G21" s="13"/>
      <c r="H21" s="14"/>
      <c r="I21" s="13"/>
      <c r="J21" s="13"/>
      <c r="K21" s="13"/>
      <c r="L21" s="13"/>
      <c r="M21" s="14"/>
      <c r="N21" s="13"/>
      <c r="O21" s="13"/>
      <c r="P21" s="13"/>
      <c r="Q21" s="13"/>
      <c r="R21" s="14"/>
      <c r="S21" s="13"/>
      <c r="T21" s="13"/>
      <c r="U21" s="13"/>
      <c r="V21" s="13"/>
      <c r="W21" s="14"/>
    </row>
    <row r="22" spans="1:23">
      <c r="A22" s="8" t="s">
        <v>101</v>
      </c>
      <c r="B22" s="27" t="s">
        <v>102</v>
      </c>
      <c r="C22" s="28"/>
      <c r="D22" s="13"/>
      <c r="E22" s="13"/>
      <c r="F22" s="13"/>
      <c r="G22" s="13"/>
      <c r="H22" s="14"/>
      <c r="I22" s="13"/>
      <c r="J22" s="13"/>
      <c r="K22" s="13"/>
      <c r="L22" s="13"/>
      <c r="M22" s="14"/>
      <c r="N22" s="13"/>
      <c r="O22" s="13"/>
      <c r="P22" s="13"/>
      <c r="Q22" s="13"/>
      <c r="R22" s="14"/>
      <c r="S22" s="13"/>
      <c r="T22" s="13"/>
      <c r="U22" s="13"/>
      <c r="V22" s="13"/>
      <c r="W22" s="14"/>
    </row>
    <row r="23" spans="1:23">
      <c r="A23" s="8" t="s">
        <v>103</v>
      </c>
      <c r="B23" s="27" t="s">
        <v>104</v>
      </c>
      <c r="C23" s="27"/>
      <c r="D23" s="20"/>
      <c r="E23" s="13"/>
      <c r="F23" s="13"/>
      <c r="G23" s="13"/>
      <c r="H23" s="14"/>
      <c r="I23" s="13"/>
      <c r="J23" s="13"/>
      <c r="K23" s="13"/>
      <c r="L23" s="13"/>
      <c r="M23" s="14"/>
      <c r="N23" s="13"/>
      <c r="O23" s="13"/>
      <c r="P23" s="13"/>
      <c r="Q23" s="13"/>
      <c r="R23" s="14"/>
      <c r="S23" s="13"/>
      <c r="T23" s="13"/>
      <c r="U23" s="13"/>
      <c r="V23" s="13"/>
      <c r="W23" s="14"/>
    </row>
    <row r="24" spans="1:23">
      <c r="A24" s="8" t="s">
        <v>105</v>
      </c>
      <c r="B24" s="27" t="s">
        <v>106</v>
      </c>
      <c r="C24" s="27"/>
      <c r="D24" s="20"/>
      <c r="E24" s="13"/>
      <c r="F24" s="13"/>
      <c r="G24" s="13"/>
      <c r="H24" s="14"/>
      <c r="I24" s="13"/>
      <c r="J24" s="13"/>
      <c r="K24" s="13"/>
      <c r="L24" s="13"/>
      <c r="M24" s="14"/>
      <c r="N24" s="13"/>
      <c r="O24" s="13"/>
      <c r="P24" s="13"/>
      <c r="Q24" s="13"/>
      <c r="R24" s="14"/>
      <c r="S24" s="13"/>
      <c r="T24" s="13"/>
      <c r="U24" s="13"/>
      <c r="V24" s="13"/>
      <c r="W24" s="14"/>
    </row>
    <row r="25" spans="1:23">
      <c r="A25" s="8" t="s">
        <v>107</v>
      </c>
      <c r="B25" s="27" t="s">
        <v>108</v>
      </c>
      <c r="C25" s="27"/>
      <c r="D25" s="20"/>
      <c r="E25" s="13"/>
      <c r="F25" s="13"/>
      <c r="G25" s="13"/>
      <c r="H25" s="14"/>
      <c r="I25" s="13"/>
      <c r="J25" s="13"/>
      <c r="K25" s="13"/>
      <c r="L25" s="13"/>
      <c r="M25" s="14"/>
      <c r="N25" s="13"/>
      <c r="O25" s="13"/>
      <c r="P25" s="13"/>
      <c r="Q25" s="13"/>
      <c r="R25" s="14"/>
      <c r="S25" s="13"/>
      <c r="T25" s="13"/>
      <c r="U25" s="13"/>
      <c r="V25" s="13"/>
      <c r="W25" s="14"/>
    </row>
    <row r="26" spans="1:23">
      <c r="A26" s="34" t="s">
        <v>109</v>
      </c>
      <c r="B26" s="34"/>
      <c r="C26" s="34"/>
      <c r="D26" s="21">
        <f>SUM(D9,D10,D11,D12,D13,D14,D15,D16,D17,D18,D19,D20,D21,D22,D23,D24,D25)</f>
        <v>0</v>
      </c>
      <c r="E26" s="21">
        <f>SUM(E9,E10,E11,E12,E13,E14,E15,E16,E17,E18,E19,E20,E21,E22,E23,E24,E25)</f>
        <v>0</v>
      </c>
      <c r="F26" s="21">
        <f>SUM(F9,F10,F11,F12,F13,F14,F15,F16,F17,F18,F19,F20,F21,F22,F23,F24,F25)</f>
        <v>0</v>
      </c>
      <c r="G26" s="21">
        <f>SUM(G9,G10,G11,G12,G13,G14,G15,G16,G17,G18,G19,G20,G21,G22,G23,G24,G25)</f>
        <v>0</v>
      </c>
      <c r="H26" s="21">
        <f t="shared" ref="H26" si="1">SUM(D26:G26)</f>
        <v>0</v>
      </c>
      <c r="I26" s="21">
        <f>SUM(I9,I10,I11,I12,I13,I14,I15,I16,I17,I18,I19,I20,I21,I22,I23,I24,I25)</f>
        <v>0</v>
      </c>
      <c r="J26" s="21">
        <f>SUM(J9,J10,J11,J12,J13,J14,J15,J16,J17,J18,J19,J20,J21,J22,J23,J24,J25)</f>
        <v>0</v>
      </c>
      <c r="K26" s="21">
        <f>SUM(K9,K10,K11,K12,K13,K14,K15,K16,K17,K18,K19,K20,K21,K22,K23,K24,K25)</f>
        <v>0</v>
      </c>
      <c r="L26" s="21">
        <f>SUM(L9,L10,L11,L12,L13,L14,L15,L16,L17,L18,L19,L20,L21,L22,L23,L24,L25)</f>
        <v>0</v>
      </c>
      <c r="M26" s="21">
        <f t="shared" ref="M26" si="2">SUM(I26:L26)</f>
        <v>0</v>
      </c>
      <c r="N26" s="21">
        <f>SUM(N9,N10,N11,N12,N13,N14,N15,N16,N17,N18,N19,N20,N21,N22,N23,N24,N25)</f>
        <v>0</v>
      </c>
      <c r="O26" s="21">
        <f>SUM(O9,O10,O11,O12,O13,O14,O15,O16,O17,O18,O19,O20,O21,O22,O23,O24,O25)</f>
        <v>0</v>
      </c>
      <c r="P26" s="21">
        <f>SUM(P9,P10,P11,P12,P13,P14,P15,P16,P17,P18,P19,P20,P21,P22,P23,P24,P25)</f>
        <v>0</v>
      </c>
      <c r="Q26" s="21">
        <f>SUM(Q9,Q10,Q11,Q12,Q13,Q14,Q15,Q16,Q17,Q18,Q19,Q20,Q21,Q22,Q23,Q24,Q25)</f>
        <v>0</v>
      </c>
      <c r="R26" s="21">
        <f t="shared" ref="R26" si="3">SUM(N26:Q26)</f>
        <v>0</v>
      </c>
      <c r="S26" s="21">
        <f>SUM(S9,S10,S11,S12,S13,S14,S15,S16,S17,S18,S19,S20,S21,S22,S23,S24,S25)</f>
        <v>0</v>
      </c>
      <c r="T26" s="21">
        <f>SUM(T9,T10,T11,T12,T13,T14,T15,T16,T17,T18,T19,T20,T21,T22,T23,T24,T25)</f>
        <v>0</v>
      </c>
      <c r="U26" s="21">
        <f>SUM(U9,U10,U11,U12,U13,U14,U15,U16,U17,U18,U19,U20,U21,U22,U23,U24,U25)</f>
        <v>0</v>
      </c>
      <c r="V26" s="21">
        <f>SUM(V9,V10,V11,V12,V13,V14,V15,V16,V17,V18,V19,V20,V21,V22,V23,V24,V25)</f>
        <v>0</v>
      </c>
      <c r="W26" s="21">
        <f>SUM(S26:V26)</f>
        <v>0</v>
      </c>
    </row>
    <row r="27" spans="1:23">
      <c r="A27" s="34" t="s">
        <v>110</v>
      </c>
      <c r="B27" s="34"/>
      <c r="C27" s="34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spans="1:23">
      <c r="A28" s="1"/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1"/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">
      <c r="A30" s="29" t="s">
        <v>111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15">
      <c r="A31" s="30" t="s">
        <v>1</v>
      </c>
      <c r="B31" s="3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>
      <c r="A33" s="31" t="s">
        <v>2</v>
      </c>
      <c r="B33" s="32" t="s">
        <v>3</v>
      </c>
      <c r="C33" s="32"/>
      <c r="D33" s="33" t="s">
        <v>4</v>
      </c>
      <c r="E33" s="33"/>
      <c r="F33" s="33"/>
      <c r="G33" s="33"/>
      <c r="H33" s="33"/>
      <c r="I33" s="33" t="s">
        <v>5</v>
      </c>
      <c r="J33" s="33"/>
      <c r="K33" s="33"/>
      <c r="L33" s="33"/>
      <c r="M33" s="33"/>
      <c r="N33" s="33" t="s">
        <v>6</v>
      </c>
      <c r="O33" s="33"/>
      <c r="P33" s="33"/>
      <c r="Q33" s="33"/>
      <c r="R33" s="33"/>
      <c r="S33" s="33" t="s">
        <v>7</v>
      </c>
      <c r="T33" s="33"/>
      <c r="U33" s="33"/>
      <c r="V33" s="33"/>
      <c r="W33" s="33"/>
    </row>
    <row r="34" spans="1:23" ht="15">
      <c r="A34" s="31"/>
      <c r="B34" s="32"/>
      <c r="C34" s="32"/>
      <c r="D34" s="3" t="s">
        <v>8</v>
      </c>
      <c r="E34" s="3" t="s">
        <v>9</v>
      </c>
      <c r="F34" s="3" t="s">
        <v>10</v>
      </c>
      <c r="G34" s="3" t="s">
        <v>11</v>
      </c>
      <c r="H34" s="3" t="s">
        <v>128</v>
      </c>
      <c r="I34" s="3" t="s">
        <v>8</v>
      </c>
      <c r="J34" s="3" t="s">
        <v>9</v>
      </c>
      <c r="K34" s="3" t="s">
        <v>10</v>
      </c>
      <c r="L34" s="3" t="s">
        <v>11</v>
      </c>
      <c r="M34" s="3" t="s">
        <v>128</v>
      </c>
      <c r="N34" s="3" t="s">
        <v>8</v>
      </c>
      <c r="O34" s="3" t="s">
        <v>9</v>
      </c>
      <c r="P34" s="3" t="s">
        <v>10</v>
      </c>
      <c r="Q34" s="3" t="s">
        <v>11</v>
      </c>
      <c r="R34" s="3" t="s">
        <v>128</v>
      </c>
      <c r="S34" s="3" t="s">
        <v>8</v>
      </c>
      <c r="T34" s="3" t="s">
        <v>9</v>
      </c>
      <c r="U34" s="3" t="s">
        <v>10</v>
      </c>
      <c r="V34" s="3" t="s">
        <v>11</v>
      </c>
      <c r="W34" s="3" t="s">
        <v>128</v>
      </c>
    </row>
    <row r="35" spans="1:23">
      <c r="A35" s="1"/>
      <c r="B35" s="1"/>
      <c r="C35" s="1"/>
      <c r="D35" s="1"/>
      <c r="E35" s="1"/>
      <c r="F35" s="1"/>
      <c r="G35" s="1"/>
      <c r="H35" s="6"/>
      <c r="I35" s="1"/>
      <c r="J35" s="1"/>
      <c r="K35" s="1"/>
      <c r="L35" s="1"/>
      <c r="M35" s="6"/>
      <c r="N35" s="1"/>
      <c r="O35" s="1"/>
      <c r="P35" s="1"/>
      <c r="Q35" s="1"/>
      <c r="R35" s="6"/>
      <c r="S35" s="1"/>
      <c r="T35" s="1"/>
      <c r="U35" s="1"/>
      <c r="V35" s="1"/>
      <c r="W35" s="6"/>
    </row>
    <row r="36" spans="1:23">
      <c r="A36" s="4" t="s">
        <v>14</v>
      </c>
      <c r="B36" s="11"/>
      <c r="C36" s="4">
        <f>A36+1</f>
        <v>2</v>
      </c>
      <c r="D36" s="4">
        <f>C36+1</f>
        <v>3</v>
      </c>
      <c r="E36" s="4">
        <f t="shared" ref="E36:W36" si="4">D36+1</f>
        <v>4</v>
      </c>
      <c r="F36" s="4">
        <f t="shared" si="4"/>
        <v>5</v>
      </c>
      <c r="G36" s="4">
        <f t="shared" si="4"/>
        <v>6</v>
      </c>
      <c r="H36" s="7">
        <f t="shared" si="4"/>
        <v>7</v>
      </c>
      <c r="I36" s="4">
        <f t="shared" si="4"/>
        <v>8</v>
      </c>
      <c r="J36" s="4">
        <f t="shared" si="4"/>
        <v>9</v>
      </c>
      <c r="K36" s="4">
        <f t="shared" si="4"/>
        <v>10</v>
      </c>
      <c r="L36" s="4">
        <f t="shared" si="4"/>
        <v>11</v>
      </c>
      <c r="M36" s="7">
        <f t="shared" si="4"/>
        <v>12</v>
      </c>
      <c r="N36" s="4">
        <f t="shared" si="4"/>
        <v>13</v>
      </c>
      <c r="O36" s="4">
        <f t="shared" si="4"/>
        <v>14</v>
      </c>
      <c r="P36" s="4">
        <f t="shared" si="4"/>
        <v>15</v>
      </c>
      <c r="Q36" s="4">
        <f t="shared" si="4"/>
        <v>16</v>
      </c>
      <c r="R36" s="7">
        <f t="shared" si="4"/>
        <v>17</v>
      </c>
      <c r="S36" s="4">
        <f t="shared" si="4"/>
        <v>18</v>
      </c>
      <c r="T36" s="4">
        <f t="shared" si="4"/>
        <v>19</v>
      </c>
      <c r="U36" s="4">
        <f t="shared" si="4"/>
        <v>20</v>
      </c>
      <c r="V36" s="4">
        <f t="shared" si="4"/>
        <v>21</v>
      </c>
      <c r="W36" s="7">
        <f t="shared" si="4"/>
        <v>22</v>
      </c>
    </row>
    <row r="37" spans="1:23">
      <c r="A37" s="1"/>
      <c r="B37" s="1"/>
      <c r="C37" s="1"/>
      <c r="D37" s="1"/>
      <c r="E37" s="1"/>
      <c r="F37" s="1"/>
      <c r="G37" s="1"/>
      <c r="H37" s="6"/>
      <c r="I37" s="1"/>
      <c r="J37" s="1"/>
      <c r="K37" s="1"/>
      <c r="L37" s="1"/>
      <c r="M37" s="6"/>
      <c r="N37" s="1"/>
      <c r="O37" s="1"/>
      <c r="P37" s="1"/>
      <c r="Q37" s="1"/>
      <c r="R37" s="6"/>
      <c r="S37" s="1"/>
      <c r="T37" s="1"/>
      <c r="U37" s="1"/>
      <c r="V37" s="1"/>
      <c r="W37" s="6"/>
    </row>
    <row r="38" spans="1:23">
      <c r="A38" s="8" t="s">
        <v>12</v>
      </c>
      <c r="B38" s="27" t="s">
        <v>13</v>
      </c>
      <c r="C38" s="28"/>
      <c r="D38" s="13"/>
      <c r="E38" s="13"/>
      <c r="F38" s="13"/>
      <c r="G38" s="13"/>
      <c r="H38" s="14"/>
      <c r="I38" s="13"/>
      <c r="J38" s="13"/>
      <c r="K38" s="13"/>
      <c r="L38" s="13"/>
      <c r="M38" s="14"/>
      <c r="N38" s="13"/>
      <c r="O38" s="13"/>
      <c r="P38" s="13"/>
      <c r="Q38" s="13"/>
      <c r="R38" s="14"/>
      <c r="S38" s="13"/>
      <c r="T38" s="13"/>
      <c r="U38" s="13"/>
      <c r="V38" s="13"/>
      <c r="W38" s="14"/>
    </row>
    <row r="39" spans="1:23">
      <c r="A39" s="8" t="s">
        <v>27</v>
      </c>
      <c r="B39" s="27" t="s">
        <v>28</v>
      </c>
      <c r="C39" s="28"/>
      <c r="D39" s="13"/>
      <c r="E39" s="13"/>
      <c r="F39" s="13"/>
      <c r="G39" s="13"/>
      <c r="H39" s="14"/>
      <c r="I39" s="13"/>
      <c r="J39" s="13"/>
      <c r="K39" s="13"/>
      <c r="L39" s="13"/>
      <c r="M39" s="14"/>
      <c r="N39" s="13"/>
      <c r="O39" s="13"/>
      <c r="P39" s="13"/>
      <c r="Q39" s="13"/>
      <c r="R39" s="14"/>
      <c r="S39" s="13"/>
      <c r="T39" s="13"/>
      <c r="U39" s="13"/>
      <c r="V39" s="13"/>
      <c r="W39" s="14"/>
    </row>
    <row r="40" spans="1:23">
      <c r="A40" s="8" t="s">
        <v>34</v>
      </c>
      <c r="B40" s="27" t="s">
        <v>35</v>
      </c>
      <c r="C40" s="28"/>
      <c r="D40" s="13"/>
      <c r="E40" s="13"/>
      <c r="F40" s="13"/>
      <c r="G40" s="13"/>
      <c r="H40" s="14"/>
      <c r="I40" s="13"/>
      <c r="J40" s="13"/>
      <c r="K40" s="13"/>
      <c r="L40" s="13"/>
      <c r="M40" s="14"/>
      <c r="N40" s="13"/>
      <c r="O40" s="13"/>
      <c r="P40" s="13"/>
      <c r="Q40" s="13"/>
      <c r="R40" s="14"/>
      <c r="S40" s="13"/>
      <c r="T40" s="13"/>
      <c r="U40" s="13"/>
      <c r="V40" s="13"/>
      <c r="W40" s="14"/>
    </row>
    <row r="41" spans="1:23">
      <c r="A41" s="8" t="s">
        <v>66</v>
      </c>
      <c r="B41" s="27" t="s">
        <v>67</v>
      </c>
      <c r="C41" s="28"/>
      <c r="D41" s="13"/>
      <c r="E41" s="13"/>
      <c r="F41" s="13"/>
      <c r="G41" s="13"/>
      <c r="H41" s="14"/>
      <c r="I41" s="13"/>
      <c r="J41" s="13"/>
      <c r="K41" s="13"/>
      <c r="L41" s="13"/>
      <c r="M41" s="14"/>
      <c r="N41" s="13"/>
      <c r="O41" s="13"/>
      <c r="P41" s="13"/>
      <c r="Q41" s="13"/>
      <c r="R41" s="14"/>
      <c r="S41" s="13"/>
      <c r="T41" s="13"/>
      <c r="U41" s="13"/>
      <c r="V41" s="13"/>
      <c r="W41" s="14"/>
    </row>
    <row r="42" spans="1:23">
      <c r="A42" s="8" t="s">
        <v>70</v>
      </c>
      <c r="B42" s="27" t="s">
        <v>71</v>
      </c>
      <c r="C42" s="28"/>
      <c r="D42" s="13"/>
      <c r="E42" s="13"/>
      <c r="F42" s="13"/>
      <c r="G42" s="13"/>
      <c r="H42" s="14"/>
      <c r="I42" s="13"/>
      <c r="J42" s="13"/>
      <c r="K42" s="13"/>
      <c r="L42" s="13"/>
      <c r="M42" s="14"/>
      <c r="N42" s="13"/>
      <c r="O42" s="13"/>
      <c r="P42" s="13"/>
      <c r="Q42" s="13"/>
      <c r="R42" s="14"/>
      <c r="S42" s="13"/>
      <c r="T42" s="13"/>
      <c r="U42" s="13"/>
      <c r="V42" s="13"/>
      <c r="W42" s="14"/>
    </row>
    <row r="43" spans="1:23">
      <c r="A43" s="8" t="s">
        <v>72</v>
      </c>
      <c r="B43" s="27" t="s">
        <v>73</v>
      </c>
      <c r="C43" s="28"/>
      <c r="D43" s="13"/>
      <c r="E43" s="13"/>
      <c r="F43" s="13"/>
      <c r="G43" s="13"/>
      <c r="H43" s="14"/>
      <c r="I43" s="13"/>
      <c r="J43" s="13"/>
      <c r="K43" s="13"/>
      <c r="L43" s="13"/>
      <c r="M43" s="14"/>
      <c r="N43" s="13"/>
      <c r="O43" s="13"/>
      <c r="P43" s="13"/>
      <c r="Q43" s="13"/>
      <c r="R43" s="14"/>
      <c r="S43" s="13"/>
      <c r="T43" s="13"/>
      <c r="U43" s="13"/>
      <c r="V43" s="13"/>
      <c r="W43" s="14"/>
    </row>
    <row r="44" spans="1:23">
      <c r="A44" s="8" t="s">
        <v>74</v>
      </c>
      <c r="B44" s="27" t="s">
        <v>75</v>
      </c>
      <c r="C44" s="28"/>
      <c r="D44" s="13"/>
      <c r="E44" s="13"/>
      <c r="F44" s="13"/>
      <c r="G44" s="13"/>
      <c r="H44" s="14"/>
      <c r="I44" s="13"/>
      <c r="J44" s="13"/>
      <c r="K44" s="13"/>
      <c r="L44" s="13"/>
      <c r="M44" s="14"/>
      <c r="N44" s="13"/>
      <c r="O44" s="13"/>
      <c r="P44" s="13"/>
      <c r="Q44" s="13"/>
      <c r="R44" s="14"/>
      <c r="S44" s="13"/>
      <c r="T44" s="13"/>
      <c r="U44" s="13"/>
      <c r="V44" s="13"/>
      <c r="W44" s="14"/>
    </row>
    <row r="45" spans="1:23">
      <c r="A45" s="8" t="s">
        <v>78</v>
      </c>
      <c r="B45" s="27" t="s">
        <v>79</v>
      </c>
      <c r="C45" s="28"/>
      <c r="D45" s="13"/>
      <c r="E45" s="13"/>
      <c r="F45" s="13"/>
      <c r="G45" s="13"/>
      <c r="H45" s="14"/>
      <c r="I45" s="13"/>
      <c r="J45" s="13"/>
      <c r="K45" s="13"/>
      <c r="L45" s="13"/>
      <c r="M45" s="14"/>
      <c r="N45" s="13"/>
      <c r="O45" s="13"/>
      <c r="P45" s="13"/>
      <c r="Q45" s="13"/>
      <c r="R45" s="14"/>
      <c r="S45" s="13"/>
      <c r="T45" s="13"/>
      <c r="U45" s="13"/>
      <c r="V45" s="13"/>
      <c r="W45" s="14"/>
    </row>
    <row r="46" spans="1:23">
      <c r="A46" s="8" t="s">
        <v>8</v>
      </c>
      <c r="B46" s="27" t="s">
        <v>86</v>
      </c>
      <c r="C46" s="28"/>
      <c r="D46" s="13"/>
      <c r="E46" s="13"/>
      <c r="F46" s="13"/>
      <c r="G46" s="13"/>
      <c r="H46" s="14"/>
      <c r="I46" s="13"/>
      <c r="J46" s="13"/>
      <c r="K46" s="13"/>
      <c r="L46" s="13"/>
      <c r="M46" s="19"/>
      <c r="N46" s="13"/>
      <c r="O46" s="13"/>
      <c r="P46" s="13"/>
      <c r="Q46" s="13"/>
      <c r="R46" s="14"/>
      <c r="S46" s="13"/>
      <c r="T46" s="13"/>
      <c r="U46" s="13"/>
      <c r="V46" s="13"/>
      <c r="W46" s="14"/>
    </row>
    <row r="47" spans="1:23">
      <c r="A47" s="8" t="s">
        <v>89</v>
      </c>
      <c r="B47" s="27" t="s">
        <v>90</v>
      </c>
      <c r="C47" s="28"/>
      <c r="D47" s="13"/>
      <c r="E47" s="13"/>
      <c r="F47" s="13"/>
      <c r="G47" s="13"/>
      <c r="H47" s="14"/>
      <c r="I47" s="13"/>
      <c r="J47" s="13"/>
      <c r="K47" s="13"/>
      <c r="L47" s="13"/>
      <c r="M47" s="14"/>
      <c r="N47" s="13"/>
      <c r="O47" s="13"/>
      <c r="P47" s="13"/>
      <c r="Q47" s="13"/>
      <c r="R47" s="14"/>
      <c r="S47" s="13"/>
      <c r="T47" s="13"/>
      <c r="U47" s="13"/>
      <c r="V47" s="13"/>
      <c r="W47" s="14"/>
    </row>
    <row r="48" spans="1:23">
      <c r="A48" s="8" t="s">
        <v>91</v>
      </c>
      <c r="B48" s="27" t="s">
        <v>92</v>
      </c>
      <c r="C48" s="28"/>
      <c r="D48" s="13"/>
      <c r="E48" s="13"/>
      <c r="F48" s="13"/>
      <c r="G48" s="13"/>
      <c r="H48" s="14"/>
      <c r="I48" s="13"/>
      <c r="J48" s="13"/>
      <c r="K48" s="13"/>
      <c r="L48" s="13"/>
      <c r="M48" s="14"/>
      <c r="N48" s="13"/>
      <c r="O48" s="13"/>
      <c r="P48" s="13"/>
      <c r="Q48" s="13"/>
      <c r="R48" s="14"/>
      <c r="S48" s="13"/>
      <c r="T48" s="13"/>
      <c r="U48" s="13"/>
      <c r="V48" s="13"/>
      <c r="W48" s="14"/>
    </row>
    <row r="49" spans="1:23">
      <c r="A49" s="8" t="s">
        <v>97</v>
      </c>
      <c r="B49" s="27" t="s">
        <v>98</v>
      </c>
      <c r="C49" s="28"/>
      <c r="D49" s="13"/>
      <c r="E49" s="13"/>
      <c r="F49" s="13"/>
      <c r="G49" s="13"/>
      <c r="H49" s="14"/>
      <c r="I49" s="13"/>
      <c r="J49" s="13"/>
      <c r="K49" s="13"/>
      <c r="L49" s="13"/>
      <c r="M49" s="14"/>
      <c r="N49" s="13"/>
      <c r="O49" s="13"/>
      <c r="P49" s="13"/>
      <c r="Q49" s="13"/>
      <c r="R49" s="14"/>
      <c r="S49" s="13"/>
      <c r="T49" s="13"/>
      <c r="U49" s="13"/>
      <c r="V49" s="13"/>
      <c r="W49" s="14"/>
    </row>
    <row r="50" spans="1:23">
      <c r="A50" s="8" t="s">
        <v>99</v>
      </c>
      <c r="B50" s="27" t="s">
        <v>100</v>
      </c>
      <c r="C50" s="28"/>
      <c r="D50" s="13"/>
      <c r="E50" s="13"/>
      <c r="F50" s="13"/>
      <c r="G50" s="13"/>
      <c r="H50" s="14"/>
      <c r="I50" s="13"/>
      <c r="J50" s="13"/>
      <c r="K50" s="13"/>
      <c r="L50" s="13"/>
      <c r="M50" s="14"/>
      <c r="N50" s="13"/>
      <c r="O50" s="13"/>
      <c r="P50" s="13"/>
      <c r="Q50" s="13"/>
      <c r="R50" s="14"/>
      <c r="S50" s="13"/>
      <c r="T50" s="13"/>
      <c r="U50" s="13"/>
      <c r="V50" s="13"/>
      <c r="W50" s="14"/>
    </row>
    <row r="51" spans="1:23">
      <c r="A51" s="8" t="s">
        <v>101</v>
      </c>
      <c r="B51" s="27" t="s">
        <v>102</v>
      </c>
      <c r="C51" s="28"/>
      <c r="D51" s="13"/>
      <c r="E51" s="13"/>
      <c r="F51" s="13"/>
      <c r="G51" s="13"/>
      <c r="H51" s="14"/>
      <c r="I51" s="13"/>
      <c r="J51" s="13"/>
      <c r="K51" s="13"/>
      <c r="L51" s="13"/>
      <c r="M51" s="14"/>
      <c r="N51" s="13"/>
      <c r="O51" s="13"/>
      <c r="P51" s="13"/>
      <c r="Q51" s="13"/>
      <c r="R51" s="14"/>
      <c r="S51" s="13"/>
      <c r="T51" s="13"/>
      <c r="U51" s="13"/>
      <c r="V51" s="13"/>
      <c r="W51" s="14"/>
    </row>
    <row r="52" spans="1:23">
      <c r="A52" s="8" t="s">
        <v>103</v>
      </c>
      <c r="B52" s="27" t="s">
        <v>104</v>
      </c>
      <c r="C52" s="27"/>
      <c r="D52" s="20"/>
      <c r="E52" s="13"/>
      <c r="F52" s="13"/>
      <c r="G52" s="13"/>
      <c r="H52" s="14"/>
      <c r="I52" s="13"/>
      <c r="J52" s="13"/>
      <c r="K52" s="13"/>
      <c r="L52" s="13"/>
      <c r="M52" s="14"/>
      <c r="N52" s="13"/>
      <c r="O52" s="13"/>
      <c r="P52" s="13"/>
      <c r="Q52" s="13"/>
      <c r="R52" s="14"/>
      <c r="S52" s="13"/>
      <c r="T52" s="13"/>
      <c r="U52" s="13"/>
      <c r="V52" s="13"/>
      <c r="W52" s="14"/>
    </row>
    <row r="53" spans="1:23">
      <c r="A53" s="8" t="s">
        <v>105</v>
      </c>
      <c r="B53" s="27" t="s">
        <v>106</v>
      </c>
      <c r="C53" s="27"/>
      <c r="D53" s="20"/>
      <c r="E53" s="13"/>
      <c r="F53" s="13"/>
      <c r="G53" s="13"/>
      <c r="H53" s="14"/>
      <c r="I53" s="13"/>
      <c r="J53" s="13"/>
      <c r="K53" s="13"/>
      <c r="L53" s="13"/>
      <c r="M53" s="14"/>
      <c r="N53" s="13"/>
      <c r="O53" s="13"/>
      <c r="P53" s="13"/>
      <c r="Q53" s="13"/>
      <c r="R53" s="14"/>
      <c r="S53" s="13"/>
      <c r="T53" s="13"/>
      <c r="U53" s="13"/>
      <c r="V53" s="13"/>
      <c r="W53" s="14"/>
    </row>
    <row r="54" spans="1:23">
      <c r="A54" s="8" t="s">
        <v>107</v>
      </c>
      <c r="B54" s="27" t="s">
        <v>108</v>
      </c>
      <c r="C54" s="27"/>
      <c r="D54" s="20"/>
      <c r="E54" s="13"/>
      <c r="F54" s="13"/>
      <c r="G54" s="13"/>
      <c r="H54" s="14"/>
      <c r="I54" s="13"/>
      <c r="J54" s="13"/>
      <c r="K54" s="13"/>
      <c r="L54" s="13"/>
      <c r="M54" s="14"/>
      <c r="N54" s="13"/>
      <c r="O54" s="13"/>
      <c r="P54" s="13"/>
      <c r="Q54" s="13"/>
      <c r="R54" s="14"/>
      <c r="S54" s="13"/>
      <c r="T54" s="13"/>
      <c r="U54" s="13"/>
      <c r="V54" s="13"/>
      <c r="W54" s="14"/>
    </row>
    <row r="55" spans="1:23">
      <c r="A55" s="34" t="s">
        <v>109</v>
      </c>
      <c r="B55" s="34"/>
      <c r="C55" s="34"/>
      <c r="D55" s="21">
        <f>SUM(D38,D39,D40,D41,D42,D43,D44,D45,D46,D47,D48,D49,D50,D51,D52,D53,D54)</f>
        <v>0</v>
      </c>
      <c r="E55" s="21">
        <f>SUM(E38,E39,E40,E41,E42,E43,E44,E45,E46,E47,E48,E49,E50,E51,E52,E53,E54)</f>
        <v>0</v>
      </c>
      <c r="F55" s="21">
        <f>SUM(F38,F39,F40,F41,F42,F43,F44,F45,F46,F47,F48,F49,F50,F51,F52,F53,F54)</f>
        <v>0</v>
      </c>
      <c r="G55" s="21">
        <f>SUM(G38,G39,G40,G41,G42,G43,G44,G45,G46,G47,G48,G49,G50,G51,G52,G53,G54)</f>
        <v>0</v>
      </c>
      <c r="H55" s="21">
        <f t="shared" ref="H54:H56" si="5">SUM(D55:G55)</f>
        <v>0</v>
      </c>
      <c r="I55" s="21">
        <f>SUM(I38,I39,I40,I41,I42,I43,I44,I45,I46,I47,I48,I49,I50,I51,I52,I53,I54)</f>
        <v>0</v>
      </c>
      <c r="J55" s="21">
        <f>SUM(J38,J39,J40,J41,J42,J43,J44,J45,J46,J47,J48,J49,J50,J51,J52,J53,J54)</f>
        <v>0</v>
      </c>
      <c r="K55" s="21">
        <f>SUM(K38,K39,K40,K41,K42,K43,K44,K45,K46,K47,K48,K49,K50,K51,K52,K53,K54)</f>
        <v>0</v>
      </c>
      <c r="L55" s="21">
        <f>SUM(L38,L39,L40,L41,L42,L43,L44,L45,L46,L47,L48,L49,L50,L51,L52,L53,L54)</f>
        <v>0</v>
      </c>
      <c r="M55" s="21">
        <f t="shared" ref="M54:M56" si="6">SUM(I55:L55)</f>
        <v>0</v>
      </c>
      <c r="N55" s="21">
        <f>SUM(N38,N39,N40,N41,N42,N43,N44,N45,N46,N47,N48,N49,N50,N51,N52,N53,N54)</f>
        <v>0</v>
      </c>
      <c r="O55" s="21">
        <f>SUM(O38,O39,O40,O41,O42,O43,O44,O45,O46,O47,O48,O49,O50,O51,O52,O53,O54)</f>
        <v>0</v>
      </c>
      <c r="P55" s="21">
        <f>SUM(P38,P39,P40,P41,P42,P43,P44,P45,P46,P47,P48,P49,P50,P51,P52,P53,P54)</f>
        <v>0</v>
      </c>
      <c r="Q55" s="21">
        <f>SUM(Q38,Q39,Q40,Q41,Q42,Q43,Q44,Q45,Q46,Q47,Q48,Q49,Q50,Q51,Q52,Q53,Q54)</f>
        <v>0</v>
      </c>
      <c r="R55" s="21">
        <f t="shared" ref="R54:R56" si="7">SUM(N55:Q55)</f>
        <v>0</v>
      </c>
      <c r="S55" s="21">
        <f>SUM(S38,S39,S40,S41,S42,S43,S44,S45,S46,S47,S48,S49,S50,S51,S52,S53,S54)</f>
        <v>0</v>
      </c>
      <c r="T55" s="21">
        <f>SUM(T38,T39,T40,T41,T42,T43,T44,T45,T46,T47,T48,T49,T50,T51,T52,T53,T54)</f>
        <v>0</v>
      </c>
      <c r="U55" s="21">
        <f>SUM(U38,U39,U40,U41,U42,U43,U44,U45,U46,U47,U48,U49,U50,U51,U52,U53,U54)</f>
        <v>0</v>
      </c>
      <c r="V55" s="21">
        <f>SUM(V38,V39,V40,V41,V42,V43,V44,V45,V46,V47,V48,V49,V50,V51,V52,V53,V54)</f>
        <v>0</v>
      </c>
      <c r="W55" s="21">
        <f t="shared" ref="W54:W56" si="8">SUM(S55:V55)</f>
        <v>0</v>
      </c>
    </row>
    <row r="56" spans="1:23">
      <c r="A56" s="34" t="s">
        <v>110</v>
      </c>
      <c r="B56" s="34"/>
      <c r="C56" s="34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</sheetData>
  <mergeCells count="54">
    <mergeCell ref="A56:C56"/>
    <mergeCell ref="B50:C50"/>
    <mergeCell ref="B51:C51"/>
    <mergeCell ref="B52:C52"/>
    <mergeCell ref="B53:C53"/>
    <mergeCell ref="B54:C54"/>
    <mergeCell ref="A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A27:C27"/>
    <mergeCell ref="A30:W30"/>
    <mergeCell ref="A31:B31"/>
    <mergeCell ref="A33:A34"/>
    <mergeCell ref="B33:C34"/>
    <mergeCell ref="D33:H33"/>
    <mergeCell ref="I33:M33"/>
    <mergeCell ref="N33:R33"/>
    <mergeCell ref="S33:W33"/>
    <mergeCell ref="B21:C21"/>
    <mergeCell ref="B22:C22"/>
    <mergeCell ref="B23:C23"/>
    <mergeCell ref="B24:C24"/>
    <mergeCell ref="B25:C25"/>
    <mergeCell ref="A26:C26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A1:W1"/>
    <mergeCell ref="A2:B2"/>
    <mergeCell ref="A4:A5"/>
    <mergeCell ref="B4:C5"/>
    <mergeCell ref="D4:H4"/>
    <mergeCell ref="I4:M4"/>
    <mergeCell ref="N4:R4"/>
    <mergeCell ref="S4:W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2"/>
  <sheetViews>
    <sheetView tabSelected="1" topLeftCell="J92" zoomScale="86" zoomScaleNormal="86" workbookViewId="0">
      <selection activeCell="Z74" sqref="Z74"/>
    </sheetView>
  </sheetViews>
  <sheetFormatPr defaultRowHeight="14.25"/>
  <cols>
    <col min="1" max="1" width="10.75" customWidth="1"/>
    <col min="2" max="2" width="3.25" customWidth="1"/>
    <col min="3" max="3" width="84.75" customWidth="1"/>
    <col min="4" max="7" width="9.875" customWidth="1"/>
    <col min="8" max="8" width="10.25" customWidth="1"/>
    <col min="9" max="12" width="9.875" customWidth="1"/>
    <col min="13" max="13" width="10.25" customWidth="1"/>
    <col min="14" max="17" width="9.875" customWidth="1"/>
    <col min="18" max="18" width="10.25" customWidth="1"/>
    <col min="19" max="22" width="9.875" customWidth="1"/>
    <col min="23" max="23" width="10.25" customWidth="1"/>
  </cols>
  <sheetData>
    <row r="1" spans="1:23" ht="15">
      <c r="A1" s="29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">
      <c r="A2" s="30" t="s">
        <v>1</v>
      </c>
      <c r="B2" s="3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>
      <c r="A4" s="31" t="s">
        <v>2</v>
      </c>
      <c r="B4" s="32" t="s">
        <v>3</v>
      </c>
      <c r="C4" s="32"/>
      <c r="D4" s="33" t="s">
        <v>4</v>
      </c>
      <c r="E4" s="33"/>
      <c r="F4" s="33"/>
      <c r="G4" s="33"/>
      <c r="H4" s="33"/>
      <c r="I4" s="33" t="s">
        <v>5</v>
      </c>
      <c r="J4" s="33"/>
      <c r="K4" s="33"/>
      <c r="L4" s="33"/>
      <c r="M4" s="33"/>
      <c r="N4" s="33" t="s">
        <v>6</v>
      </c>
      <c r="O4" s="33"/>
      <c r="P4" s="33"/>
      <c r="Q4" s="33"/>
      <c r="R4" s="33"/>
      <c r="S4" s="33" t="s">
        <v>7</v>
      </c>
      <c r="T4" s="33"/>
      <c r="U4" s="33"/>
      <c r="V4" s="33"/>
      <c r="W4" s="33"/>
    </row>
    <row r="5" spans="1:23" ht="15">
      <c r="A5" s="31"/>
      <c r="B5" s="32"/>
      <c r="C5" s="32"/>
      <c r="D5" s="3" t="s">
        <v>8</v>
      </c>
      <c r="E5" s="3" t="s">
        <v>9</v>
      </c>
      <c r="F5" s="3" t="s">
        <v>10</v>
      </c>
      <c r="G5" s="3" t="s">
        <v>11</v>
      </c>
      <c r="H5" s="3" t="s">
        <v>128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128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128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128</v>
      </c>
    </row>
    <row r="6" spans="1:23">
      <c r="A6" s="1"/>
      <c r="B6" s="1"/>
      <c r="C6" s="1"/>
      <c r="D6" s="1"/>
      <c r="E6" s="1"/>
      <c r="F6" s="1"/>
      <c r="G6" s="1"/>
      <c r="H6" s="6"/>
      <c r="I6" s="1"/>
      <c r="J6" s="1"/>
      <c r="K6" s="1"/>
      <c r="L6" s="1"/>
      <c r="M6" s="6"/>
      <c r="N6" s="1"/>
      <c r="O6" s="1"/>
      <c r="P6" s="1"/>
      <c r="Q6" s="1"/>
      <c r="R6" s="6"/>
      <c r="S6" s="1"/>
      <c r="T6" s="1"/>
      <c r="U6" s="1"/>
      <c r="V6" s="1"/>
      <c r="W6" s="6"/>
    </row>
    <row r="7" spans="1:23">
      <c r="A7" s="4">
        <v>1</v>
      </c>
      <c r="B7" s="11"/>
      <c r="C7" s="4">
        <f>A7+1</f>
        <v>2</v>
      </c>
      <c r="D7" s="4">
        <f>C7+1</f>
        <v>3</v>
      </c>
      <c r="E7" s="4">
        <f t="shared" ref="E7:W7" si="0">D7+1</f>
        <v>4</v>
      </c>
      <c r="F7" s="4">
        <f t="shared" si="0"/>
        <v>5</v>
      </c>
      <c r="G7" s="4">
        <f t="shared" si="0"/>
        <v>6</v>
      </c>
      <c r="H7" s="7">
        <f t="shared" si="0"/>
        <v>7</v>
      </c>
      <c r="I7" s="4">
        <f t="shared" si="0"/>
        <v>8</v>
      </c>
      <c r="J7" s="4">
        <f t="shared" si="0"/>
        <v>9</v>
      </c>
      <c r="K7" s="4">
        <f t="shared" si="0"/>
        <v>10</v>
      </c>
      <c r="L7" s="4">
        <f t="shared" si="0"/>
        <v>11</v>
      </c>
      <c r="M7" s="7">
        <f t="shared" si="0"/>
        <v>12</v>
      </c>
      <c r="N7" s="4">
        <f t="shared" si="0"/>
        <v>13</v>
      </c>
      <c r="O7" s="4">
        <f t="shared" si="0"/>
        <v>14</v>
      </c>
      <c r="P7" s="4">
        <f t="shared" si="0"/>
        <v>15</v>
      </c>
      <c r="Q7" s="4">
        <f t="shared" si="0"/>
        <v>16</v>
      </c>
      <c r="R7" s="7">
        <f t="shared" si="0"/>
        <v>17</v>
      </c>
      <c r="S7" s="4">
        <f t="shared" si="0"/>
        <v>18</v>
      </c>
      <c r="T7" s="4">
        <f t="shared" si="0"/>
        <v>19</v>
      </c>
      <c r="U7" s="4">
        <f t="shared" si="0"/>
        <v>20</v>
      </c>
      <c r="V7" s="4">
        <f t="shared" si="0"/>
        <v>21</v>
      </c>
      <c r="W7" s="7">
        <f t="shared" si="0"/>
        <v>22</v>
      </c>
    </row>
    <row r="8" spans="1:23">
      <c r="A8" s="9"/>
      <c r="B8" s="9"/>
      <c r="C8" s="9"/>
      <c r="D8" s="9"/>
      <c r="E8" s="9"/>
      <c r="F8" s="9"/>
      <c r="G8" s="9"/>
      <c r="H8" s="10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9"/>
      <c r="U8" s="9"/>
      <c r="V8" s="9"/>
      <c r="W8" s="10"/>
    </row>
    <row r="9" spans="1:23">
      <c r="A9" s="8" t="s">
        <v>12</v>
      </c>
      <c r="B9" s="27" t="s">
        <v>13</v>
      </c>
      <c r="C9" s="28"/>
      <c r="D9" s="13">
        <v>14114.12</v>
      </c>
      <c r="E9" s="13">
        <v>14644.84</v>
      </c>
      <c r="F9" s="13">
        <v>15180.89</v>
      </c>
      <c r="G9" s="13">
        <v>15722.25</v>
      </c>
      <c r="H9" s="14">
        <v>59662.1</v>
      </c>
      <c r="I9" s="13">
        <v>14848.05</v>
      </c>
      <c r="J9" s="13">
        <v>15406.38</v>
      </c>
      <c r="K9" s="13">
        <v>15970.28</v>
      </c>
      <c r="L9" s="13">
        <v>16539.810000000001</v>
      </c>
      <c r="M9" s="14">
        <v>62764.52</v>
      </c>
      <c r="N9" s="13">
        <v>15620.16</v>
      </c>
      <c r="O9" s="13">
        <v>16207.52</v>
      </c>
      <c r="P9" s="13">
        <v>16800.75</v>
      </c>
      <c r="Q9" s="13">
        <v>17399.88</v>
      </c>
      <c r="R9" s="14">
        <v>66028.31</v>
      </c>
      <c r="S9" s="13">
        <v>16432.41</v>
      </c>
      <c r="T9" s="13">
        <v>17050.29</v>
      </c>
      <c r="U9" s="13">
        <v>17674.38</v>
      </c>
      <c r="V9" s="13">
        <v>18304.669999999998</v>
      </c>
      <c r="W9" s="14">
        <v>69461.75</v>
      </c>
    </row>
    <row r="10" spans="1:23">
      <c r="A10" s="9"/>
      <c r="B10" s="9" t="s">
        <v>14</v>
      </c>
      <c r="C10" s="9" t="s">
        <v>15</v>
      </c>
      <c r="D10" s="15">
        <v>11534.68</v>
      </c>
      <c r="E10" s="16">
        <v>11968.4</v>
      </c>
      <c r="F10" s="16">
        <v>12406.49</v>
      </c>
      <c r="G10" s="16">
        <v>12848.91</v>
      </c>
      <c r="H10" s="17">
        <v>48758.48</v>
      </c>
      <c r="I10" s="16">
        <v>12134.48</v>
      </c>
      <c r="J10" s="16">
        <v>12590.76</v>
      </c>
      <c r="K10" s="16">
        <v>13051.61</v>
      </c>
      <c r="L10" s="16">
        <v>13517.05</v>
      </c>
      <c r="M10" s="17">
        <v>51293.9</v>
      </c>
      <c r="N10" s="16">
        <v>12765.48</v>
      </c>
      <c r="O10" s="16">
        <v>13245.49</v>
      </c>
      <c r="P10" s="16">
        <v>13730.31</v>
      </c>
      <c r="Q10" s="16">
        <v>14219.94</v>
      </c>
      <c r="R10" s="17">
        <v>53961.22</v>
      </c>
      <c r="S10" s="16">
        <v>13429.28</v>
      </c>
      <c r="T10" s="16">
        <v>13934.24</v>
      </c>
      <c r="U10" s="16">
        <v>14444.28</v>
      </c>
      <c r="V10" s="16">
        <v>14959.37</v>
      </c>
      <c r="W10" s="17">
        <v>56767.17</v>
      </c>
    </row>
    <row r="11" spans="1:23">
      <c r="A11" s="9"/>
      <c r="B11" s="9"/>
      <c r="C11" s="9" t="s">
        <v>16</v>
      </c>
      <c r="D11" s="15">
        <v>1402.61</v>
      </c>
      <c r="E11" s="15">
        <v>1455.35</v>
      </c>
      <c r="F11" s="15">
        <v>1508.62</v>
      </c>
      <c r="G11" s="15">
        <v>1562.42</v>
      </c>
      <c r="H11" s="14">
        <v>5929</v>
      </c>
      <c r="I11" s="15">
        <v>1475.55</v>
      </c>
      <c r="J11" s="15">
        <v>1531.03</v>
      </c>
      <c r="K11" s="15">
        <v>1587.07</v>
      </c>
      <c r="L11" s="15">
        <v>1643.67</v>
      </c>
      <c r="M11" s="14">
        <v>6237.32</v>
      </c>
      <c r="N11" s="15">
        <v>1552.28</v>
      </c>
      <c r="O11" s="15">
        <v>1610.65</v>
      </c>
      <c r="P11" s="15">
        <v>1669.6</v>
      </c>
      <c r="Q11" s="15">
        <v>1729.14</v>
      </c>
      <c r="R11" s="14">
        <v>6561.67</v>
      </c>
      <c r="S11" s="15">
        <v>1633</v>
      </c>
      <c r="T11" s="15">
        <v>1694.4</v>
      </c>
      <c r="U11" s="15">
        <v>1756.42</v>
      </c>
      <c r="V11" s="15">
        <v>1819.06</v>
      </c>
      <c r="W11" s="14">
        <v>6902.88</v>
      </c>
    </row>
    <row r="12" spans="1:23">
      <c r="A12" s="9"/>
      <c r="B12" s="9"/>
      <c r="C12" s="9" t="s">
        <v>17</v>
      </c>
      <c r="D12" s="15">
        <v>1529.58</v>
      </c>
      <c r="E12" s="15">
        <v>1587.09</v>
      </c>
      <c r="F12" s="15">
        <v>1645.18</v>
      </c>
      <c r="G12" s="15">
        <v>1703.85</v>
      </c>
      <c r="H12" s="14">
        <v>6465.7</v>
      </c>
      <c r="I12" s="15">
        <v>1609.11</v>
      </c>
      <c r="J12" s="15">
        <v>1669.62</v>
      </c>
      <c r="K12" s="15">
        <v>1730.73</v>
      </c>
      <c r="L12" s="15">
        <v>1792.45</v>
      </c>
      <c r="M12" s="14">
        <v>6801.91</v>
      </c>
      <c r="N12" s="15">
        <v>1692.79</v>
      </c>
      <c r="O12" s="15">
        <v>1756.44</v>
      </c>
      <c r="P12" s="15">
        <v>1820.73</v>
      </c>
      <c r="Q12" s="15">
        <v>1885.66</v>
      </c>
      <c r="R12" s="14">
        <v>7155.62</v>
      </c>
      <c r="S12" s="15">
        <v>1780.81</v>
      </c>
      <c r="T12" s="15">
        <v>1847.77</v>
      </c>
      <c r="U12" s="15">
        <v>1915.41</v>
      </c>
      <c r="V12" s="15">
        <v>1983.71</v>
      </c>
      <c r="W12" s="14">
        <v>7527.7</v>
      </c>
    </row>
    <row r="13" spans="1:23">
      <c r="A13" s="9"/>
      <c r="B13" s="9"/>
      <c r="C13" s="9" t="s">
        <v>18</v>
      </c>
      <c r="D13" s="15">
        <v>1659.63</v>
      </c>
      <c r="E13" s="15">
        <v>1722.04</v>
      </c>
      <c r="F13" s="15">
        <v>1785.07</v>
      </c>
      <c r="G13" s="15">
        <v>1848.73</v>
      </c>
      <c r="H13" s="14">
        <v>7015.47</v>
      </c>
      <c r="I13" s="15">
        <v>1745.93</v>
      </c>
      <c r="J13" s="15">
        <v>1811.58</v>
      </c>
      <c r="K13" s="15">
        <v>1877.89</v>
      </c>
      <c r="L13" s="15">
        <v>1944.86</v>
      </c>
      <c r="M13" s="14">
        <v>7380.26</v>
      </c>
      <c r="N13" s="15">
        <v>1836.72</v>
      </c>
      <c r="O13" s="15">
        <v>1905.79</v>
      </c>
      <c r="P13" s="15">
        <v>1975.54</v>
      </c>
      <c r="Q13" s="15">
        <v>2045.99</v>
      </c>
      <c r="R13" s="14">
        <v>7764.04</v>
      </c>
      <c r="S13" s="15">
        <v>1932.23</v>
      </c>
      <c r="T13" s="15">
        <v>2004.89</v>
      </c>
      <c r="U13" s="15">
        <v>2078.27</v>
      </c>
      <c r="V13" s="15">
        <v>2152.38</v>
      </c>
      <c r="W13" s="14">
        <v>8167.77</v>
      </c>
    </row>
    <row r="14" spans="1:23">
      <c r="A14" s="9"/>
      <c r="B14" s="9"/>
      <c r="C14" s="9" t="s">
        <v>19</v>
      </c>
      <c r="D14" s="15">
        <v>1629.8</v>
      </c>
      <c r="E14" s="15">
        <v>1691.09</v>
      </c>
      <c r="F14" s="15">
        <v>1752.99</v>
      </c>
      <c r="G14" s="15">
        <v>1815.5</v>
      </c>
      <c r="H14" s="14">
        <v>6889.38</v>
      </c>
      <c r="I14" s="15">
        <v>1714.55</v>
      </c>
      <c r="J14" s="15">
        <v>1779.02</v>
      </c>
      <c r="K14" s="15">
        <v>1844.14</v>
      </c>
      <c r="L14" s="15">
        <v>1909.9</v>
      </c>
      <c r="M14" s="14">
        <v>7247.61</v>
      </c>
      <c r="N14" s="15">
        <v>1803.71</v>
      </c>
      <c r="O14" s="15">
        <v>1871.53</v>
      </c>
      <c r="P14" s="15">
        <v>1940.04</v>
      </c>
      <c r="Q14" s="15">
        <v>2009.22</v>
      </c>
      <c r="R14" s="14">
        <v>7624.5</v>
      </c>
      <c r="S14" s="15">
        <v>1897.5</v>
      </c>
      <c r="T14" s="15">
        <v>1968.85</v>
      </c>
      <c r="U14" s="15">
        <v>2040.92</v>
      </c>
      <c r="V14" s="15">
        <v>2113.6999999999998</v>
      </c>
      <c r="W14" s="14">
        <v>8020.97</v>
      </c>
    </row>
    <row r="15" spans="1:23">
      <c r="A15" s="9"/>
      <c r="B15" s="9"/>
      <c r="C15" s="9" t="s">
        <v>20</v>
      </c>
      <c r="D15" s="15">
        <v>1640.69</v>
      </c>
      <c r="E15" s="15">
        <v>1702.38</v>
      </c>
      <c r="F15" s="15">
        <v>1764.7</v>
      </c>
      <c r="G15" s="15">
        <v>1827.63</v>
      </c>
      <c r="H15" s="14">
        <v>6935.4</v>
      </c>
      <c r="I15" s="15">
        <v>1726.01</v>
      </c>
      <c r="J15" s="15">
        <v>1790.91</v>
      </c>
      <c r="K15" s="15">
        <v>1856.46</v>
      </c>
      <c r="L15" s="15">
        <v>1922.66</v>
      </c>
      <c r="M15" s="14">
        <v>7296.04</v>
      </c>
      <c r="N15" s="15">
        <v>1815.76</v>
      </c>
      <c r="O15" s="15">
        <v>1884.03</v>
      </c>
      <c r="P15" s="15">
        <v>1953</v>
      </c>
      <c r="Q15" s="15">
        <v>2022.64</v>
      </c>
      <c r="R15" s="14">
        <v>7675.43</v>
      </c>
      <c r="S15" s="15">
        <v>1910.18</v>
      </c>
      <c r="T15" s="15">
        <v>1982</v>
      </c>
      <c r="U15" s="15">
        <v>2054.5500000000002</v>
      </c>
      <c r="V15" s="15">
        <v>2127.8200000000002</v>
      </c>
      <c r="W15" s="14">
        <v>8074.55</v>
      </c>
    </row>
    <row r="16" spans="1:23">
      <c r="A16" s="9"/>
      <c r="B16" s="9"/>
      <c r="C16" s="9" t="s">
        <v>21</v>
      </c>
      <c r="D16" s="15">
        <v>1769.99</v>
      </c>
      <c r="E16" s="15">
        <v>1836.54</v>
      </c>
      <c r="F16" s="15">
        <v>1903.77</v>
      </c>
      <c r="G16" s="15">
        <v>1971.65</v>
      </c>
      <c r="H16" s="14">
        <v>7481.95</v>
      </c>
      <c r="I16" s="15">
        <v>1862.03</v>
      </c>
      <c r="J16" s="15">
        <v>1932.04</v>
      </c>
      <c r="K16" s="15">
        <v>2002.76</v>
      </c>
      <c r="L16" s="15">
        <v>2074.1799999999998</v>
      </c>
      <c r="M16" s="14">
        <v>7871.01</v>
      </c>
      <c r="N16" s="15">
        <v>1958.85</v>
      </c>
      <c r="O16" s="15">
        <v>2032.51</v>
      </c>
      <c r="P16" s="15">
        <v>2106.9</v>
      </c>
      <c r="Q16" s="15">
        <v>2182.04</v>
      </c>
      <c r="R16" s="14">
        <v>8280.2999999999993</v>
      </c>
      <c r="S16" s="15">
        <v>2060.71</v>
      </c>
      <c r="T16" s="15">
        <v>2138.1999999999998</v>
      </c>
      <c r="U16" s="15">
        <v>2216.46</v>
      </c>
      <c r="V16" s="15">
        <v>2295.5</v>
      </c>
      <c r="W16" s="14">
        <v>8710.8700000000008</v>
      </c>
    </row>
    <row r="17" spans="1:23">
      <c r="A17" s="9"/>
      <c r="B17" s="9"/>
      <c r="C17" s="9" t="s">
        <v>22</v>
      </c>
      <c r="D17" s="15">
        <v>1902.38</v>
      </c>
      <c r="E17" s="15">
        <v>1973.91</v>
      </c>
      <c r="F17" s="15">
        <v>2046.16</v>
      </c>
      <c r="G17" s="15">
        <v>2119.13</v>
      </c>
      <c r="H17" s="14">
        <v>8041.58</v>
      </c>
      <c r="I17" s="15">
        <v>2001.3</v>
      </c>
      <c r="J17" s="15">
        <v>2076.56</v>
      </c>
      <c r="K17" s="15">
        <v>2152.56</v>
      </c>
      <c r="L17" s="15">
        <v>2229.33</v>
      </c>
      <c r="M17" s="14">
        <v>8459.75</v>
      </c>
      <c r="N17" s="15">
        <v>2105.37</v>
      </c>
      <c r="O17" s="15">
        <v>2184.54</v>
      </c>
      <c r="P17" s="15">
        <v>2264.5</v>
      </c>
      <c r="Q17" s="15">
        <v>2345.25</v>
      </c>
      <c r="R17" s="14">
        <v>8899.66</v>
      </c>
      <c r="S17" s="15">
        <v>2214.85</v>
      </c>
      <c r="T17" s="15">
        <v>2298.13</v>
      </c>
      <c r="U17" s="15">
        <v>2382.25</v>
      </c>
      <c r="V17" s="15">
        <v>2467.1999999999998</v>
      </c>
      <c r="W17" s="14">
        <v>9362.43</v>
      </c>
    </row>
    <row r="18" spans="1:23">
      <c r="A18" s="9"/>
      <c r="B18" s="9" t="s">
        <v>23</v>
      </c>
      <c r="C18" s="9" t="s">
        <v>24</v>
      </c>
      <c r="D18" s="15">
        <v>2037.86</v>
      </c>
      <c r="E18" s="15">
        <v>2114.4899999999998</v>
      </c>
      <c r="F18" s="15">
        <v>2191.89</v>
      </c>
      <c r="G18" s="15">
        <v>2270.0500000000002</v>
      </c>
      <c r="H18" s="14">
        <v>8614.2900000000009</v>
      </c>
      <c r="I18" s="15">
        <v>2143.83</v>
      </c>
      <c r="J18" s="15">
        <v>2224.4499999999998</v>
      </c>
      <c r="K18" s="15">
        <v>2305.87</v>
      </c>
      <c r="L18" s="15">
        <v>2388.1</v>
      </c>
      <c r="M18" s="14">
        <v>9062.25</v>
      </c>
      <c r="N18" s="15">
        <v>2255.31</v>
      </c>
      <c r="O18" s="15">
        <v>2340.12</v>
      </c>
      <c r="P18" s="15">
        <v>2425.77</v>
      </c>
      <c r="Q18" s="15">
        <v>2512.2800000000002</v>
      </c>
      <c r="R18" s="14">
        <v>9533.48</v>
      </c>
      <c r="S18" s="15">
        <v>2372.59</v>
      </c>
      <c r="T18" s="15">
        <v>2461.8000000000002</v>
      </c>
      <c r="U18" s="15">
        <v>2551.91</v>
      </c>
      <c r="V18" s="15">
        <v>2642.92</v>
      </c>
      <c r="W18" s="14">
        <v>10029.219999999999</v>
      </c>
    </row>
    <row r="19" spans="1:23">
      <c r="A19" s="9"/>
      <c r="B19" s="9" t="s">
        <v>25</v>
      </c>
      <c r="C19" s="9" t="s">
        <v>26</v>
      </c>
      <c r="D19" s="15">
        <v>541.58000000000004</v>
      </c>
      <c r="E19" s="18">
        <v>561.95000000000005</v>
      </c>
      <c r="F19" s="18">
        <v>582.51</v>
      </c>
      <c r="G19" s="18">
        <v>603.29</v>
      </c>
      <c r="H19" s="19">
        <v>2289.33</v>
      </c>
      <c r="I19" s="18">
        <v>569.74</v>
      </c>
      <c r="J19" s="18">
        <v>591.16999999999996</v>
      </c>
      <c r="K19" s="18">
        <v>612.79999999999995</v>
      </c>
      <c r="L19" s="18">
        <v>634.66</v>
      </c>
      <c r="M19" s="19">
        <v>2408.37</v>
      </c>
      <c r="N19" s="18">
        <v>599.37</v>
      </c>
      <c r="O19" s="18">
        <v>621.91</v>
      </c>
      <c r="P19" s="18">
        <v>644.66999999999996</v>
      </c>
      <c r="Q19" s="18">
        <v>667.66</v>
      </c>
      <c r="R19" s="19">
        <v>2533.61</v>
      </c>
      <c r="S19" s="18">
        <v>630.54</v>
      </c>
      <c r="T19" s="18">
        <v>654.25</v>
      </c>
      <c r="U19" s="18">
        <v>678.19</v>
      </c>
      <c r="V19" s="18">
        <v>702.38</v>
      </c>
      <c r="W19" s="19">
        <v>2665.36</v>
      </c>
    </row>
    <row r="20" spans="1:23">
      <c r="A20" s="8" t="s">
        <v>27</v>
      </c>
      <c r="B20" s="27" t="s">
        <v>28</v>
      </c>
      <c r="C20" s="28"/>
      <c r="D20" s="13">
        <v>2988.1</v>
      </c>
      <c r="E20" s="13">
        <v>3100.45</v>
      </c>
      <c r="F20" s="13">
        <v>3213.94</v>
      </c>
      <c r="G20" s="13">
        <v>3328.56</v>
      </c>
      <c r="H20" s="14">
        <v>12631.05</v>
      </c>
      <c r="I20" s="13">
        <v>3143.47</v>
      </c>
      <c r="J20" s="13">
        <v>3261.67</v>
      </c>
      <c r="K20" s="13">
        <v>3381.06</v>
      </c>
      <c r="L20" s="13">
        <v>3501.65</v>
      </c>
      <c r="M20" s="14">
        <v>13287.85</v>
      </c>
      <c r="N20" s="13">
        <v>3306.95</v>
      </c>
      <c r="O20" s="13">
        <v>3431.29</v>
      </c>
      <c r="P20" s="13">
        <v>3556.88</v>
      </c>
      <c r="Q20" s="13">
        <v>3683.72</v>
      </c>
      <c r="R20" s="14">
        <v>13978.84</v>
      </c>
      <c r="S20" s="13">
        <v>3478.91</v>
      </c>
      <c r="T20" s="13">
        <v>3609.72</v>
      </c>
      <c r="U20" s="13">
        <v>3741.84</v>
      </c>
      <c r="V20" s="13">
        <v>3875.28</v>
      </c>
      <c r="W20" s="14">
        <v>14705.75</v>
      </c>
    </row>
    <row r="21" spans="1:23">
      <c r="A21" s="9"/>
      <c r="B21" s="9" t="s">
        <v>14</v>
      </c>
      <c r="C21" s="9" t="s">
        <v>29</v>
      </c>
      <c r="D21" s="15">
        <v>571.9</v>
      </c>
      <c r="E21" s="16">
        <v>593.41</v>
      </c>
      <c r="F21" s="16">
        <v>615.13</v>
      </c>
      <c r="G21" s="16">
        <v>637.05999999999995</v>
      </c>
      <c r="H21" s="17">
        <v>2417.5</v>
      </c>
      <c r="I21" s="16">
        <v>601.64</v>
      </c>
      <c r="J21" s="16">
        <v>624.26</v>
      </c>
      <c r="K21" s="16">
        <v>647.11</v>
      </c>
      <c r="L21" s="16">
        <v>670.19</v>
      </c>
      <c r="M21" s="17">
        <v>2543.1999999999998</v>
      </c>
      <c r="N21" s="16">
        <v>632.92999999999995</v>
      </c>
      <c r="O21" s="16">
        <v>656.73</v>
      </c>
      <c r="P21" s="16">
        <v>680.76</v>
      </c>
      <c r="Q21" s="16">
        <v>705.04</v>
      </c>
      <c r="R21" s="17">
        <v>2675.46</v>
      </c>
      <c r="S21" s="16">
        <v>665.84</v>
      </c>
      <c r="T21" s="16">
        <v>690.88</v>
      </c>
      <c r="U21" s="16">
        <v>716.16</v>
      </c>
      <c r="V21" s="16">
        <v>741.7</v>
      </c>
      <c r="W21" s="17">
        <v>2814.58</v>
      </c>
    </row>
    <row r="22" spans="1:23">
      <c r="A22" s="9"/>
      <c r="B22" s="9" t="s">
        <v>23</v>
      </c>
      <c r="C22" s="9" t="s">
        <v>30</v>
      </c>
      <c r="D22" s="15">
        <v>686.59</v>
      </c>
      <c r="E22" s="15">
        <v>712.4</v>
      </c>
      <c r="F22" s="15">
        <v>738.48</v>
      </c>
      <c r="G22" s="15">
        <v>764.82</v>
      </c>
      <c r="H22" s="14">
        <v>2902.29</v>
      </c>
      <c r="I22" s="15">
        <v>722.29</v>
      </c>
      <c r="J22" s="15">
        <v>749.45</v>
      </c>
      <c r="K22" s="15">
        <v>776.88</v>
      </c>
      <c r="L22" s="15">
        <v>804.59</v>
      </c>
      <c r="M22" s="14">
        <v>3053.21</v>
      </c>
      <c r="N22" s="15">
        <v>759.85</v>
      </c>
      <c r="O22" s="15">
        <v>788.42</v>
      </c>
      <c r="P22" s="15">
        <v>817.28</v>
      </c>
      <c r="Q22" s="15">
        <v>846.42</v>
      </c>
      <c r="R22" s="14">
        <v>3211.97</v>
      </c>
      <c r="S22" s="15">
        <v>799.36</v>
      </c>
      <c r="T22" s="15">
        <v>829.42</v>
      </c>
      <c r="U22" s="15">
        <v>859.78</v>
      </c>
      <c r="V22" s="15">
        <v>890.44</v>
      </c>
      <c r="W22" s="14">
        <v>3379</v>
      </c>
    </row>
    <row r="23" spans="1:23">
      <c r="A23" s="9"/>
      <c r="B23" s="9" t="s">
        <v>25</v>
      </c>
      <c r="C23" s="9" t="s">
        <v>31</v>
      </c>
      <c r="D23" s="15">
        <v>804.37</v>
      </c>
      <c r="E23" s="15">
        <v>834.61</v>
      </c>
      <c r="F23" s="15">
        <v>865.16</v>
      </c>
      <c r="G23" s="15">
        <v>896.02</v>
      </c>
      <c r="H23" s="14">
        <v>3400.16</v>
      </c>
      <c r="I23" s="15">
        <v>846.19</v>
      </c>
      <c r="J23" s="15">
        <v>878.01</v>
      </c>
      <c r="K23" s="15">
        <v>910.15</v>
      </c>
      <c r="L23" s="15">
        <v>942.61</v>
      </c>
      <c r="M23" s="14">
        <v>3576.96</v>
      </c>
      <c r="N23" s="15">
        <v>890.2</v>
      </c>
      <c r="O23" s="15">
        <v>923.67</v>
      </c>
      <c r="P23" s="15">
        <v>957.48</v>
      </c>
      <c r="Q23" s="15">
        <v>991.62</v>
      </c>
      <c r="R23" s="14">
        <v>3762.97</v>
      </c>
      <c r="S23" s="15">
        <v>936.49</v>
      </c>
      <c r="T23" s="15">
        <v>971.7</v>
      </c>
      <c r="U23" s="15">
        <v>1007.27</v>
      </c>
      <c r="V23" s="15">
        <v>1043.19</v>
      </c>
      <c r="W23" s="14">
        <v>3958.65</v>
      </c>
    </row>
    <row r="24" spans="1:23">
      <c r="A24" s="9"/>
      <c r="B24" s="9" t="s">
        <v>32</v>
      </c>
      <c r="C24" s="9" t="s">
        <v>33</v>
      </c>
      <c r="D24" s="15">
        <v>925.24</v>
      </c>
      <c r="E24" s="18">
        <v>960.03</v>
      </c>
      <c r="F24" s="18">
        <v>995.17</v>
      </c>
      <c r="G24" s="18">
        <v>1030.6600000000001</v>
      </c>
      <c r="H24" s="19">
        <v>3911.1</v>
      </c>
      <c r="I24" s="18">
        <v>973.35</v>
      </c>
      <c r="J24" s="18">
        <v>1009.95</v>
      </c>
      <c r="K24" s="18">
        <v>1046.92</v>
      </c>
      <c r="L24" s="18">
        <v>1084.26</v>
      </c>
      <c r="M24" s="19">
        <v>4114.4799999999996</v>
      </c>
      <c r="N24" s="18">
        <v>1023.97</v>
      </c>
      <c r="O24" s="18">
        <v>1062.47</v>
      </c>
      <c r="P24" s="18">
        <v>1101.3599999999999</v>
      </c>
      <c r="Q24" s="18">
        <v>1140.6400000000001</v>
      </c>
      <c r="R24" s="19">
        <v>4328.4399999999996</v>
      </c>
      <c r="S24" s="18">
        <v>1077.22</v>
      </c>
      <c r="T24" s="18">
        <v>1117.72</v>
      </c>
      <c r="U24" s="18">
        <v>1158.6300000000001</v>
      </c>
      <c r="V24" s="18">
        <v>1199.95</v>
      </c>
      <c r="W24" s="19">
        <v>4553.5200000000004</v>
      </c>
    </row>
    <row r="25" spans="1:23">
      <c r="A25" s="8" t="s">
        <v>34</v>
      </c>
      <c r="B25" s="27" t="s">
        <v>35</v>
      </c>
      <c r="C25" s="28"/>
      <c r="D25" s="13">
        <v>21338.39</v>
      </c>
      <c r="E25" s="13">
        <v>22140.75</v>
      </c>
      <c r="F25" s="13">
        <v>22951.17</v>
      </c>
      <c r="G25" s="13">
        <v>23769.65</v>
      </c>
      <c r="H25" s="14">
        <v>90199.96</v>
      </c>
      <c r="I25" s="13">
        <v>22448.01</v>
      </c>
      <c r="J25" s="13">
        <v>23292.07</v>
      </c>
      <c r="K25" s="13">
        <v>24144.639999999999</v>
      </c>
      <c r="L25" s="13">
        <v>25005.67</v>
      </c>
      <c r="M25" s="14">
        <v>94890.39</v>
      </c>
      <c r="N25" s="13">
        <v>23615.29</v>
      </c>
      <c r="O25" s="13">
        <v>24503.279999999999</v>
      </c>
      <c r="P25" s="13">
        <v>25400.16</v>
      </c>
      <c r="Q25" s="13">
        <v>26305.94</v>
      </c>
      <c r="R25" s="14">
        <v>99824.67</v>
      </c>
      <c r="S25" s="13">
        <v>24843.279999999999</v>
      </c>
      <c r="T25" s="13">
        <v>25777.46</v>
      </c>
      <c r="U25" s="13">
        <v>26720.98</v>
      </c>
      <c r="V25" s="13">
        <v>27673.88</v>
      </c>
      <c r="W25" s="14">
        <v>105015.6</v>
      </c>
    </row>
    <row r="26" spans="1:23">
      <c r="A26" s="9"/>
      <c r="B26" s="9" t="s">
        <v>14</v>
      </c>
      <c r="C26" s="9" t="s">
        <v>36</v>
      </c>
      <c r="D26" s="15">
        <v>2400.36</v>
      </c>
      <c r="E26" s="16">
        <v>2490.62</v>
      </c>
      <c r="F26" s="16">
        <v>2581.7800000000002</v>
      </c>
      <c r="G26" s="16">
        <v>2673.85</v>
      </c>
      <c r="H26" s="17">
        <v>10146.61</v>
      </c>
      <c r="I26" s="16">
        <v>2525.1799999999998</v>
      </c>
      <c r="J26" s="16">
        <v>2620.13</v>
      </c>
      <c r="K26" s="16">
        <v>2716.04</v>
      </c>
      <c r="L26" s="16">
        <v>2812.89</v>
      </c>
      <c r="M26" s="17">
        <v>10674.24</v>
      </c>
      <c r="N26" s="16">
        <v>2656.49</v>
      </c>
      <c r="O26" s="16">
        <v>2756.37</v>
      </c>
      <c r="P26" s="16">
        <v>2857.27</v>
      </c>
      <c r="Q26" s="16">
        <v>2959.16</v>
      </c>
      <c r="R26" s="17">
        <v>11229.29</v>
      </c>
      <c r="S26" s="16">
        <v>2794.63</v>
      </c>
      <c r="T26" s="16">
        <v>2899.71</v>
      </c>
      <c r="U26" s="16">
        <v>3005.85</v>
      </c>
      <c r="V26" s="16">
        <v>3113.04</v>
      </c>
      <c r="W26" s="17">
        <v>11813.23</v>
      </c>
    </row>
    <row r="27" spans="1:23">
      <c r="A27" s="9"/>
      <c r="B27" s="9"/>
      <c r="C27" s="9" t="s">
        <v>37</v>
      </c>
      <c r="D27" s="15">
        <v>1217.76</v>
      </c>
      <c r="E27" s="15">
        <v>1263.55</v>
      </c>
      <c r="F27" s="15">
        <v>1309.8</v>
      </c>
      <c r="G27" s="15">
        <v>1356.51</v>
      </c>
      <c r="H27" s="14">
        <v>5147.62</v>
      </c>
      <c r="I27" s="15">
        <v>1281.08</v>
      </c>
      <c r="J27" s="15">
        <v>1329.25</v>
      </c>
      <c r="K27" s="15">
        <v>1377.91</v>
      </c>
      <c r="L27" s="15">
        <v>1427.05</v>
      </c>
      <c r="M27" s="14">
        <v>5415.29</v>
      </c>
      <c r="N27" s="15">
        <v>1347.7</v>
      </c>
      <c r="O27" s="15">
        <v>1398.37</v>
      </c>
      <c r="P27" s="15">
        <v>1449.56</v>
      </c>
      <c r="Q27" s="15">
        <v>1501.25</v>
      </c>
      <c r="R27" s="14">
        <v>5696.88</v>
      </c>
      <c r="S27" s="15">
        <v>1417.78</v>
      </c>
      <c r="T27" s="15">
        <v>1471.09</v>
      </c>
      <c r="U27" s="15">
        <v>1524.94</v>
      </c>
      <c r="V27" s="15">
        <v>1579.32</v>
      </c>
      <c r="W27" s="14">
        <v>5993.13</v>
      </c>
    </row>
    <row r="28" spans="1:23">
      <c r="A28" s="9"/>
      <c r="B28" s="9"/>
      <c r="C28" s="9" t="s">
        <v>38</v>
      </c>
      <c r="D28" s="15">
        <v>1182.5999999999999</v>
      </c>
      <c r="E28" s="15">
        <v>1227.07</v>
      </c>
      <c r="F28" s="15">
        <v>1271.98</v>
      </c>
      <c r="G28" s="15">
        <v>1317.34</v>
      </c>
      <c r="H28" s="14">
        <v>4998.99</v>
      </c>
      <c r="I28" s="15">
        <v>1244.0999999999999</v>
      </c>
      <c r="J28" s="15">
        <v>1290.8800000000001</v>
      </c>
      <c r="K28" s="15">
        <v>1338.13</v>
      </c>
      <c r="L28" s="15">
        <v>1385.84</v>
      </c>
      <c r="M28" s="14">
        <v>5258.95</v>
      </c>
      <c r="N28" s="15">
        <v>1308.79</v>
      </c>
      <c r="O28" s="15">
        <v>1358</v>
      </c>
      <c r="P28" s="15">
        <v>1407.71</v>
      </c>
      <c r="Q28" s="15">
        <v>1457.91</v>
      </c>
      <c r="R28" s="14">
        <v>5532.41</v>
      </c>
      <c r="S28" s="15">
        <v>1376.85</v>
      </c>
      <c r="T28" s="15">
        <v>1428.62</v>
      </c>
      <c r="U28" s="15">
        <v>1480.91</v>
      </c>
      <c r="V28" s="15">
        <v>1533.72</v>
      </c>
      <c r="W28" s="14">
        <v>5820.1</v>
      </c>
    </row>
    <row r="29" spans="1:23">
      <c r="A29" s="9"/>
      <c r="B29" s="9" t="s">
        <v>23</v>
      </c>
      <c r="C29" s="9" t="s">
        <v>39</v>
      </c>
      <c r="D29" s="15">
        <v>1308.9000000000001</v>
      </c>
      <c r="E29" s="15">
        <v>1358.12</v>
      </c>
      <c r="F29" s="15">
        <v>1407.83</v>
      </c>
      <c r="G29" s="15">
        <v>1458.04</v>
      </c>
      <c r="H29" s="14">
        <v>5532.89</v>
      </c>
      <c r="I29" s="15">
        <v>1376.97</v>
      </c>
      <c r="J29" s="15">
        <v>1428.74</v>
      </c>
      <c r="K29" s="15">
        <v>1481.04</v>
      </c>
      <c r="L29" s="15">
        <v>1533.85</v>
      </c>
      <c r="M29" s="14">
        <v>5820.6</v>
      </c>
      <c r="N29" s="15">
        <v>1448.57</v>
      </c>
      <c r="O29" s="15">
        <v>1503.04</v>
      </c>
      <c r="P29" s="15">
        <v>1558.05</v>
      </c>
      <c r="Q29" s="15">
        <v>1613.62</v>
      </c>
      <c r="R29" s="14">
        <v>6123.28</v>
      </c>
      <c r="S29" s="15">
        <v>1523.89</v>
      </c>
      <c r="T29" s="15">
        <v>1581.2</v>
      </c>
      <c r="U29" s="15">
        <v>1639.07</v>
      </c>
      <c r="V29" s="15">
        <v>1697.52</v>
      </c>
      <c r="W29" s="14">
        <v>6441.68</v>
      </c>
    </row>
    <row r="30" spans="1:23">
      <c r="A30" s="9"/>
      <c r="B30" s="9" t="s">
        <v>25</v>
      </c>
      <c r="C30" s="9" t="s">
        <v>40</v>
      </c>
      <c r="D30" s="15">
        <v>1337.95</v>
      </c>
      <c r="E30" s="15">
        <v>1388.26</v>
      </c>
      <c r="F30" s="15">
        <v>1439.08</v>
      </c>
      <c r="G30" s="15">
        <v>1490.4</v>
      </c>
      <c r="H30" s="14">
        <v>5655.69</v>
      </c>
      <c r="I30" s="15">
        <v>1407.53</v>
      </c>
      <c r="J30" s="15">
        <v>1460.45</v>
      </c>
      <c r="K30" s="15">
        <v>1513.91</v>
      </c>
      <c r="L30" s="15">
        <v>1567.9</v>
      </c>
      <c r="M30" s="14">
        <v>5949.79</v>
      </c>
      <c r="N30" s="15">
        <v>1480.72</v>
      </c>
      <c r="O30" s="15">
        <v>1536.4</v>
      </c>
      <c r="P30" s="15">
        <v>1592.63</v>
      </c>
      <c r="Q30" s="15">
        <v>1649.43</v>
      </c>
      <c r="R30" s="14">
        <v>6259.18</v>
      </c>
      <c r="S30" s="15">
        <v>1557.72</v>
      </c>
      <c r="T30" s="15">
        <v>1616.29</v>
      </c>
      <c r="U30" s="15">
        <v>1675.45</v>
      </c>
      <c r="V30" s="15">
        <v>1735.2</v>
      </c>
      <c r="W30" s="14">
        <v>6584.66</v>
      </c>
    </row>
    <row r="31" spans="1:23">
      <c r="A31" s="9"/>
      <c r="B31" s="9" t="s">
        <v>32</v>
      </c>
      <c r="C31" s="9" t="s">
        <v>41</v>
      </c>
      <c r="D31" s="15">
        <v>1462.71</v>
      </c>
      <c r="E31" s="15">
        <v>1517.71</v>
      </c>
      <c r="F31" s="15">
        <v>1573.26</v>
      </c>
      <c r="G31" s="15">
        <v>1629.37</v>
      </c>
      <c r="H31" s="14">
        <v>6183.05</v>
      </c>
      <c r="I31" s="15">
        <v>1538.77</v>
      </c>
      <c r="J31" s="15">
        <v>1596.63</v>
      </c>
      <c r="K31" s="15">
        <v>1655.07</v>
      </c>
      <c r="L31" s="15">
        <v>1714.1</v>
      </c>
      <c r="M31" s="14">
        <v>6504.57</v>
      </c>
      <c r="N31" s="15">
        <v>1618.79</v>
      </c>
      <c r="O31" s="15">
        <v>1679.66</v>
      </c>
      <c r="P31" s="15">
        <v>1741.14</v>
      </c>
      <c r="Q31" s="15">
        <v>1803.23</v>
      </c>
      <c r="R31" s="14">
        <v>6842.82</v>
      </c>
      <c r="S31" s="15">
        <v>1702.97</v>
      </c>
      <c r="T31" s="15">
        <v>1767</v>
      </c>
      <c r="U31" s="15">
        <v>1831.68</v>
      </c>
      <c r="V31" s="15">
        <v>1897</v>
      </c>
      <c r="W31" s="14">
        <v>7198.65</v>
      </c>
    </row>
    <row r="32" spans="1:23">
      <c r="A32" s="9"/>
      <c r="B32" s="9" t="s">
        <v>42</v>
      </c>
      <c r="C32" s="9" t="s">
        <v>43</v>
      </c>
      <c r="D32" s="15">
        <v>1590.56</v>
      </c>
      <c r="E32" s="15">
        <v>1650.37</v>
      </c>
      <c r="F32" s="15">
        <v>1710.78</v>
      </c>
      <c r="G32" s="15">
        <v>1771.79</v>
      </c>
      <c r="H32" s="14">
        <v>6723.5</v>
      </c>
      <c r="I32" s="15">
        <v>1673.27</v>
      </c>
      <c r="J32" s="15">
        <v>1736.19</v>
      </c>
      <c r="K32" s="15">
        <v>1799.74</v>
      </c>
      <c r="L32" s="15">
        <v>1863.92</v>
      </c>
      <c r="M32" s="14">
        <v>7073.12</v>
      </c>
      <c r="N32" s="15">
        <v>1760.28</v>
      </c>
      <c r="O32" s="15">
        <v>1826.47</v>
      </c>
      <c r="P32" s="15">
        <v>1893.33</v>
      </c>
      <c r="Q32" s="15">
        <v>1960.84</v>
      </c>
      <c r="R32" s="14">
        <v>7440.92</v>
      </c>
      <c r="S32" s="15">
        <v>1851.82</v>
      </c>
      <c r="T32" s="15">
        <v>1921.45</v>
      </c>
      <c r="U32" s="15">
        <v>1991.78</v>
      </c>
      <c r="V32" s="15">
        <v>2062.81</v>
      </c>
      <c r="W32" s="14">
        <v>7827.86</v>
      </c>
    </row>
    <row r="33" spans="1:23">
      <c r="A33" s="9"/>
      <c r="B33" s="9" t="s">
        <v>44</v>
      </c>
      <c r="C33" s="9" t="s">
        <v>45</v>
      </c>
      <c r="D33" s="15">
        <v>1721.51</v>
      </c>
      <c r="E33" s="15">
        <v>1786.24</v>
      </c>
      <c r="F33" s="15">
        <v>1851.62</v>
      </c>
      <c r="G33" s="15">
        <v>1917.65</v>
      </c>
      <c r="H33" s="14">
        <v>7277.02</v>
      </c>
      <c r="I33" s="15">
        <v>1811.03</v>
      </c>
      <c r="J33" s="15">
        <v>1879.12</v>
      </c>
      <c r="K33" s="15">
        <v>1947.9</v>
      </c>
      <c r="L33" s="15">
        <v>2017.37</v>
      </c>
      <c r="M33" s="14">
        <v>7655.42</v>
      </c>
      <c r="N33" s="15">
        <v>1905.2</v>
      </c>
      <c r="O33" s="15">
        <v>1976.84</v>
      </c>
      <c r="P33" s="15">
        <v>2049.1999999999998</v>
      </c>
      <c r="Q33" s="15">
        <v>2122.27</v>
      </c>
      <c r="R33" s="14">
        <v>8053.51</v>
      </c>
      <c r="S33" s="15">
        <v>2004.27</v>
      </c>
      <c r="T33" s="15">
        <v>2079.63</v>
      </c>
      <c r="U33" s="15">
        <v>2155.75</v>
      </c>
      <c r="V33" s="15">
        <v>2232.63</v>
      </c>
      <c r="W33" s="14">
        <v>8472.2800000000007</v>
      </c>
    </row>
    <row r="34" spans="1:23">
      <c r="A34" s="9"/>
      <c r="B34" s="9" t="s">
        <v>46</v>
      </c>
      <c r="C34" s="9" t="s">
        <v>47</v>
      </c>
      <c r="D34" s="15">
        <v>1855.55</v>
      </c>
      <c r="E34" s="15">
        <v>1925.32</v>
      </c>
      <c r="F34" s="15">
        <v>1995.79</v>
      </c>
      <c r="G34" s="15">
        <v>2066.96</v>
      </c>
      <c r="H34" s="14">
        <v>7843.62</v>
      </c>
      <c r="I34" s="15">
        <v>1952.03</v>
      </c>
      <c r="J34" s="15">
        <v>2025.43</v>
      </c>
      <c r="K34" s="15">
        <v>2099.5700000000002</v>
      </c>
      <c r="L34" s="15">
        <v>2174.44</v>
      </c>
      <c r="M34" s="14">
        <v>8251.4699999999993</v>
      </c>
      <c r="N34" s="15">
        <v>2053.54</v>
      </c>
      <c r="O34" s="15">
        <v>2130.7600000000002</v>
      </c>
      <c r="P34" s="15">
        <v>2208.75</v>
      </c>
      <c r="Q34" s="15">
        <v>2287.5100000000002</v>
      </c>
      <c r="R34" s="14">
        <v>8680.56</v>
      </c>
      <c r="S34" s="15">
        <v>2160.3200000000002</v>
      </c>
      <c r="T34" s="15">
        <v>2241.56</v>
      </c>
      <c r="U34" s="15">
        <v>2323.6</v>
      </c>
      <c r="V34" s="15">
        <v>2406.4699999999998</v>
      </c>
      <c r="W34" s="14">
        <v>9131.9500000000007</v>
      </c>
    </row>
    <row r="35" spans="1:23">
      <c r="A35" s="9"/>
      <c r="B35" s="9" t="s">
        <v>48</v>
      </c>
      <c r="C35" s="9" t="s">
        <v>49</v>
      </c>
      <c r="D35" s="15">
        <v>1699.9</v>
      </c>
      <c r="E35" s="15">
        <v>1763.82</v>
      </c>
      <c r="F35" s="15">
        <v>1828.38</v>
      </c>
      <c r="G35" s="15">
        <v>1893.58</v>
      </c>
      <c r="H35" s="14">
        <v>7185.68</v>
      </c>
      <c r="I35" s="15">
        <v>1788.29</v>
      </c>
      <c r="J35" s="15">
        <v>1855.54</v>
      </c>
      <c r="K35" s="15">
        <v>1923.46</v>
      </c>
      <c r="L35" s="15">
        <v>1992.05</v>
      </c>
      <c r="M35" s="14">
        <v>7559.34</v>
      </c>
      <c r="N35" s="15">
        <v>1881.29</v>
      </c>
      <c r="O35" s="15">
        <v>1952.03</v>
      </c>
      <c r="P35" s="15">
        <v>2023.48</v>
      </c>
      <c r="Q35" s="15">
        <v>2095.63</v>
      </c>
      <c r="R35" s="14">
        <v>7952.43</v>
      </c>
      <c r="S35" s="15">
        <v>1979.11</v>
      </c>
      <c r="T35" s="15">
        <v>2053.5300000000002</v>
      </c>
      <c r="U35" s="15">
        <v>2128.6999999999998</v>
      </c>
      <c r="V35" s="15">
        <v>2204.61</v>
      </c>
      <c r="W35" s="14">
        <v>8365.9500000000007</v>
      </c>
    </row>
    <row r="36" spans="1:23">
      <c r="A36" s="9"/>
      <c r="B36" s="9" t="s">
        <v>50</v>
      </c>
      <c r="C36" s="9" t="s">
        <v>51</v>
      </c>
      <c r="D36" s="15">
        <v>1830.09</v>
      </c>
      <c r="E36" s="15">
        <v>1898.9</v>
      </c>
      <c r="F36" s="15">
        <v>1968.41</v>
      </c>
      <c r="G36" s="15">
        <v>2038.6</v>
      </c>
      <c r="H36" s="14">
        <v>7736</v>
      </c>
      <c r="I36" s="15">
        <v>1925.25</v>
      </c>
      <c r="J36" s="15">
        <v>1997.64</v>
      </c>
      <c r="K36" s="15">
        <v>2070.7600000000002</v>
      </c>
      <c r="L36" s="15">
        <v>2144.61</v>
      </c>
      <c r="M36" s="14">
        <v>8138.26</v>
      </c>
      <c r="N36" s="15">
        <v>2025.36</v>
      </c>
      <c r="O36" s="15">
        <v>2101.52</v>
      </c>
      <c r="P36" s="15">
        <v>2178.44</v>
      </c>
      <c r="Q36" s="15">
        <v>2256.13</v>
      </c>
      <c r="R36" s="14">
        <v>8561.4500000000007</v>
      </c>
      <c r="S36" s="15">
        <v>2130.6799999999998</v>
      </c>
      <c r="T36" s="15">
        <v>2210.8000000000002</v>
      </c>
      <c r="U36" s="15">
        <v>2291.7199999999998</v>
      </c>
      <c r="V36" s="15">
        <v>2373.4499999999998</v>
      </c>
      <c r="W36" s="14">
        <v>9006.65</v>
      </c>
    </row>
    <row r="37" spans="1:23">
      <c r="A37" s="9"/>
      <c r="B37" s="9" t="s">
        <v>52</v>
      </c>
      <c r="C37" s="9" t="s">
        <v>53</v>
      </c>
      <c r="D37" s="15">
        <v>1963.37</v>
      </c>
      <c r="E37" s="15">
        <v>2037.19</v>
      </c>
      <c r="F37" s="15">
        <v>2111.7600000000002</v>
      </c>
      <c r="G37" s="15">
        <v>2187.0700000000002</v>
      </c>
      <c r="H37" s="14">
        <v>8299.39</v>
      </c>
      <c r="I37" s="15">
        <v>2065.46</v>
      </c>
      <c r="J37" s="15">
        <v>2143.13</v>
      </c>
      <c r="K37" s="15">
        <v>2221.5700000000002</v>
      </c>
      <c r="L37" s="15">
        <v>2300.79</v>
      </c>
      <c r="M37" s="14">
        <v>8730.9500000000007</v>
      </c>
      <c r="N37" s="15">
        <v>2172.86</v>
      </c>
      <c r="O37" s="15">
        <v>2254.5700000000002</v>
      </c>
      <c r="P37" s="15">
        <v>2337.09</v>
      </c>
      <c r="Q37" s="15">
        <v>2420.4299999999998</v>
      </c>
      <c r="R37" s="14">
        <v>9184.9500000000007</v>
      </c>
      <c r="S37" s="15">
        <v>2285.85</v>
      </c>
      <c r="T37" s="15">
        <v>2371.81</v>
      </c>
      <c r="U37" s="15">
        <v>2458.62</v>
      </c>
      <c r="V37" s="15">
        <v>2546.3000000000002</v>
      </c>
      <c r="W37" s="14">
        <v>9662.58</v>
      </c>
    </row>
    <row r="38" spans="1:23">
      <c r="A38" s="9"/>
      <c r="B38" s="9" t="s">
        <v>54</v>
      </c>
      <c r="C38" s="9" t="s">
        <v>55</v>
      </c>
      <c r="D38" s="15">
        <v>488.01</v>
      </c>
      <c r="E38" s="15">
        <v>506.36</v>
      </c>
      <c r="F38" s="15">
        <v>524.89</v>
      </c>
      <c r="G38" s="15">
        <v>543.61</v>
      </c>
      <c r="H38" s="14">
        <v>2062.87</v>
      </c>
      <c r="I38" s="15">
        <v>513.39</v>
      </c>
      <c r="J38" s="15">
        <v>532.69000000000005</v>
      </c>
      <c r="K38" s="15">
        <v>552.19000000000005</v>
      </c>
      <c r="L38" s="15">
        <v>571.88</v>
      </c>
      <c r="M38" s="14">
        <v>2170.15</v>
      </c>
      <c r="N38" s="15">
        <v>540.08000000000004</v>
      </c>
      <c r="O38" s="15">
        <v>560.39</v>
      </c>
      <c r="P38" s="15">
        <v>580.9</v>
      </c>
      <c r="Q38" s="15">
        <v>601.62</v>
      </c>
      <c r="R38" s="14">
        <v>2282.9899999999998</v>
      </c>
      <c r="S38" s="15">
        <v>568.16999999999996</v>
      </c>
      <c r="T38" s="15">
        <v>589.53</v>
      </c>
      <c r="U38" s="15">
        <v>611.11</v>
      </c>
      <c r="V38" s="15">
        <v>632.9</v>
      </c>
      <c r="W38" s="14">
        <v>2401.71</v>
      </c>
    </row>
    <row r="39" spans="1:23">
      <c r="A39" s="9"/>
      <c r="B39" s="9" t="s">
        <v>56</v>
      </c>
      <c r="C39" s="9" t="s">
        <v>57</v>
      </c>
      <c r="D39" s="15">
        <v>604.34</v>
      </c>
      <c r="E39" s="15">
        <v>627.07000000000005</v>
      </c>
      <c r="F39" s="15">
        <v>650.02</v>
      </c>
      <c r="G39" s="15">
        <v>673.2</v>
      </c>
      <c r="H39" s="14">
        <v>2554.63</v>
      </c>
      <c r="I39" s="15">
        <v>635.77</v>
      </c>
      <c r="J39" s="15">
        <v>659.68</v>
      </c>
      <c r="K39" s="15">
        <v>683.82</v>
      </c>
      <c r="L39" s="15">
        <v>708.21</v>
      </c>
      <c r="M39" s="14">
        <v>2687.48</v>
      </c>
      <c r="N39" s="15">
        <v>668.83</v>
      </c>
      <c r="O39" s="15">
        <v>693.98</v>
      </c>
      <c r="P39" s="15">
        <v>719.38</v>
      </c>
      <c r="Q39" s="15">
        <v>745.03</v>
      </c>
      <c r="R39" s="14">
        <v>2827.22</v>
      </c>
      <c r="S39" s="15">
        <v>703.61</v>
      </c>
      <c r="T39" s="15">
        <v>730.07</v>
      </c>
      <c r="U39" s="15">
        <v>756.79</v>
      </c>
      <c r="V39" s="15">
        <v>783.78</v>
      </c>
      <c r="W39" s="14">
        <v>2974.25</v>
      </c>
    </row>
    <row r="40" spans="1:23">
      <c r="A40" s="9"/>
      <c r="B40" s="9" t="s">
        <v>58</v>
      </c>
      <c r="C40" s="9" t="s">
        <v>59</v>
      </c>
      <c r="D40" s="15">
        <v>673.27</v>
      </c>
      <c r="E40" s="15">
        <v>698.59</v>
      </c>
      <c r="F40" s="15">
        <v>724.16</v>
      </c>
      <c r="G40" s="15">
        <v>749.99</v>
      </c>
      <c r="H40" s="14">
        <v>2846.01</v>
      </c>
      <c r="I40" s="15">
        <v>708.29</v>
      </c>
      <c r="J40" s="15">
        <v>734.92</v>
      </c>
      <c r="K40" s="15">
        <v>761.82</v>
      </c>
      <c r="L40" s="15">
        <v>788.99</v>
      </c>
      <c r="M40" s="14">
        <v>2994.02</v>
      </c>
      <c r="N40" s="15">
        <v>745.12</v>
      </c>
      <c r="O40" s="15">
        <v>773.13</v>
      </c>
      <c r="P40" s="15">
        <v>801.43</v>
      </c>
      <c r="Q40" s="15">
        <v>830.01</v>
      </c>
      <c r="R40" s="14">
        <v>3149.69</v>
      </c>
      <c r="S40" s="15">
        <v>783.86</v>
      </c>
      <c r="T40" s="15">
        <v>813.34</v>
      </c>
      <c r="U40" s="15">
        <v>843.11</v>
      </c>
      <c r="V40" s="15">
        <v>873.17</v>
      </c>
      <c r="W40" s="14">
        <v>3313.48</v>
      </c>
    </row>
    <row r="41" spans="1:23">
      <c r="A41" s="9"/>
      <c r="B41" s="9" t="s">
        <v>60</v>
      </c>
      <c r="C41" s="9" t="s">
        <v>61</v>
      </c>
      <c r="D41" s="15">
        <v>788.06</v>
      </c>
      <c r="E41" s="15">
        <v>817.69</v>
      </c>
      <c r="F41" s="15">
        <v>847.62</v>
      </c>
      <c r="G41" s="15">
        <v>877.85</v>
      </c>
      <c r="H41" s="14">
        <v>3331.22</v>
      </c>
      <c r="I41" s="15">
        <v>829.04</v>
      </c>
      <c r="J41" s="15">
        <v>860.21</v>
      </c>
      <c r="K41" s="15">
        <v>891.7</v>
      </c>
      <c r="L41" s="15">
        <v>923.5</v>
      </c>
      <c r="M41" s="14">
        <v>3504.45</v>
      </c>
      <c r="N41" s="15">
        <v>872.15</v>
      </c>
      <c r="O41" s="15">
        <v>904.95</v>
      </c>
      <c r="P41" s="15">
        <v>938.07</v>
      </c>
      <c r="Q41" s="15">
        <v>971.52</v>
      </c>
      <c r="R41" s="14">
        <v>3686.69</v>
      </c>
      <c r="S41" s="15">
        <v>917.5</v>
      </c>
      <c r="T41" s="15">
        <v>952</v>
      </c>
      <c r="U41" s="15">
        <v>986.85</v>
      </c>
      <c r="V41" s="15">
        <v>1022.04</v>
      </c>
      <c r="W41" s="14">
        <v>3878.39</v>
      </c>
    </row>
    <row r="42" spans="1:23">
      <c r="A42" s="9"/>
      <c r="B42" s="9" t="s">
        <v>62</v>
      </c>
      <c r="C42" s="9" t="s">
        <v>63</v>
      </c>
      <c r="D42" s="15">
        <v>747.57</v>
      </c>
      <c r="E42" s="15">
        <v>775.68</v>
      </c>
      <c r="F42" s="15">
        <v>804.08</v>
      </c>
      <c r="G42" s="15">
        <v>832.75</v>
      </c>
      <c r="H42" s="14">
        <v>3160.08</v>
      </c>
      <c r="I42" s="15">
        <v>786.45</v>
      </c>
      <c r="J42" s="15">
        <v>816.02</v>
      </c>
      <c r="K42" s="15">
        <v>845.89</v>
      </c>
      <c r="L42" s="15">
        <v>876.05</v>
      </c>
      <c r="M42" s="14">
        <v>3324.41</v>
      </c>
      <c r="N42" s="15">
        <v>827.34</v>
      </c>
      <c r="O42" s="15">
        <v>858.45</v>
      </c>
      <c r="P42" s="15">
        <v>889.87</v>
      </c>
      <c r="Q42" s="15">
        <v>921.61</v>
      </c>
      <c r="R42" s="14">
        <v>3497.27</v>
      </c>
      <c r="S42" s="15">
        <v>870.36</v>
      </c>
      <c r="T42" s="15">
        <v>903.09</v>
      </c>
      <c r="U42" s="15">
        <v>936.15</v>
      </c>
      <c r="V42" s="15">
        <v>969.53</v>
      </c>
      <c r="W42" s="14">
        <v>3679.13</v>
      </c>
    </row>
    <row r="43" spans="1:23">
      <c r="A43" s="9"/>
      <c r="B43" s="9" t="s">
        <v>64</v>
      </c>
      <c r="C43" s="9" t="s">
        <v>65</v>
      </c>
      <c r="D43" s="15">
        <v>866.24</v>
      </c>
      <c r="E43" s="18">
        <v>898.81</v>
      </c>
      <c r="F43" s="18">
        <v>931.71</v>
      </c>
      <c r="G43" s="18">
        <v>964.94</v>
      </c>
      <c r="H43" s="19">
        <v>3661.7</v>
      </c>
      <c r="I43" s="18">
        <v>911.29</v>
      </c>
      <c r="J43" s="18">
        <v>945.55</v>
      </c>
      <c r="K43" s="18">
        <v>980.16</v>
      </c>
      <c r="L43" s="18">
        <v>1015.12</v>
      </c>
      <c r="M43" s="19">
        <v>3852.12</v>
      </c>
      <c r="N43" s="18">
        <v>958.67</v>
      </c>
      <c r="O43" s="18">
        <v>994.72</v>
      </c>
      <c r="P43" s="18">
        <v>1031.1300000000001</v>
      </c>
      <c r="Q43" s="18">
        <v>1067.9000000000001</v>
      </c>
      <c r="R43" s="19">
        <v>4052.42</v>
      </c>
      <c r="S43" s="18">
        <v>1008.52</v>
      </c>
      <c r="T43" s="18">
        <v>1046.45</v>
      </c>
      <c r="U43" s="18">
        <v>1084.75</v>
      </c>
      <c r="V43" s="18">
        <v>1123.43</v>
      </c>
      <c r="W43" s="19">
        <v>4263.1499999999996</v>
      </c>
    </row>
    <row r="44" spans="1:23">
      <c r="A44" s="8" t="s">
        <v>66</v>
      </c>
      <c r="B44" s="27" t="s">
        <v>67</v>
      </c>
      <c r="C44" s="28"/>
      <c r="D44" s="13">
        <v>2190.66</v>
      </c>
      <c r="E44" s="13">
        <v>2273.0300000000002</v>
      </c>
      <c r="F44" s="13">
        <v>2356.2199999999998</v>
      </c>
      <c r="G44" s="13">
        <v>2440.25</v>
      </c>
      <c r="H44" s="14">
        <v>9260.16</v>
      </c>
      <c r="I44" s="13">
        <v>2304.5700000000002</v>
      </c>
      <c r="J44" s="13">
        <v>2391.2199999999998</v>
      </c>
      <c r="K44" s="13">
        <v>2478.75</v>
      </c>
      <c r="L44" s="13">
        <v>2567.14</v>
      </c>
      <c r="M44" s="14">
        <v>9741.68</v>
      </c>
      <c r="N44" s="13">
        <v>2424.4</v>
      </c>
      <c r="O44" s="13">
        <v>2515.5700000000002</v>
      </c>
      <c r="P44" s="13">
        <v>2607.64</v>
      </c>
      <c r="Q44" s="13">
        <v>2700.64</v>
      </c>
      <c r="R44" s="14">
        <v>10248.25</v>
      </c>
      <c r="S44" s="13">
        <v>2550.48</v>
      </c>
      <c r="T44" s="13">
        <v>2646.38</v>
      </c>
      <c r="U44" s="13">
        <v>2743.24</v>
      </c>
      <c r="V44" s="13">
        <v>2841.07</v>
      </c>
      <c r="W44" s="14">
        <v>10781.17</v>
      </c>
    </row>
    <row r="45" spans="1:23">
      <c r="A45" s="9"/>
      <c r="B45" s="9" t="s">
        <v>14</v>
      </c>
      <c r="C45" s="9" t="s">
        <v>68</v>
      </c>
      <c r="D45" s="15">
        <v>1035.22</v>
      </c>
      <c r="E45" s="16">
        <v>1074.1500000000001</v>
      </c>
      <c r="F45" s="16">
        <v>1113.46</v>
      </c>
      <c r="G45" s="16">
        <v>1153.17</v>
      </c>
      <c r="H45" s="17">
        <v>4376</v>
      </c>
      <c r="I45" s="16">
        <v>1089.05</v>
      </c>
      <c r="J45" s="16">
        <v>1130</v>
      </c>
      <c r="K45" s="16">
        <v>1171.3599999999999</v>
      </c>
      <c r="L45" s="16">
        <v>1213.1300000000001</v>
      </c>
      <c r="M45" s="17">
        <v>4603.54</v>
      </c>
      <c r="N45" s="16">
        <v>1145.68</v>
      </c>
      <c r="O45" s="16">
        <v>1188.76</v>
      </c>
      <c r="P45" s="16">
        <v>1232.27</v>
      </c>
      <c r="Q45" s="16">
        <v>1276.22</v>
      </c>
      <c r="R45" s="17">
        <v>4842.93</v>
      </c>
      <c r="S45" s="16">
        <v>1205.26</v>
      </c>
      <c r="T45" s="16">
        <v>1250.58</v>
      </c>
      <c r="U45" s="16">
        <v>1296.3499999999999</v>
      </c>
      <c r="V45" s="16">
        <v>1342.58</v>
      </c>
      <c r="W45" s="17">
        <v>5094.7700000000004</v>
      </c>
    </row>
    <row r="46" spans="1:23">
      <c r="A46" s="9"/>
      <c r="B46" s="9" t="s">
        <v>23</v>
      </c>
      <c r="C46" s="9" t="s">
        <v>69</v>
      </c>
      <c r="D46" s="15">
        <v>1155.44</v>
      </c>
      <c r="E46" s="18">
        <v>1198.8800000000001</v>
      </c>
      <c r="F46" s="18">
        <v>1242.76</v>
      </c>
      <c r="G46" s="18">
        <v>1287.08</v>
      </c>
      <c r="H46" s="19">
        <v>4884.16</v>
      </c>
      <c r="I46" s="18">
        <v>1215.52</v>
      </c>
      <c r="J46" s="18">
        <v>1261.22</v>
      </c>
      <c r="K46" s="18">
        <v>1307.3900000000001</v>
      </c>
      <c r="L46" s="18">
        <v>1354.01</v>
      </c>
      <c r="M46" s="19">
        <v>5138.1400000000003</v>
      </c>
      <c r="N46" s="18">
        <v>1278.72</v>
      </c>
      <c r="O46" s="18">
        <v>1326.81</v>
      </c>
      <c r="P46" s="18">
        <v>1375.37</v>
      </c>
      <c r="Q46" s="18">
        <v>1424.42</v>
      </c>
      <c r="R46" s="19">
        <v>5405.32</v>
      </c>
      <c r="S46" s="18">
        <v>1345.22</v>
      </c>
      <c r="T46" s="18">
        <v>1395.8</v>
      </c>
      <c r="U46" s="18">
        <v>1446.89</v>
      </c>
      <c r="V46" s="18">
        <v>1498.49</v>
      </c>
      <c r="W46" s="19">
        <v>5686.4</v>
      </c>
    </row>
    <row r="47" spans="1:23">
      <c r="A47" s="8" t="s">
        <v>70</v>
      </c>
      <c r="B47" s="27" t="s">
        <v>71</v>
      </c>
      <c r="C47" s="28"/>
      <c r="D47" s="13">
        <v>1278.74</v>
      </c>
      <c r="E47" s="13">
        <v>1326.83</v>
      </c>
      <c r="F47" s="13">
        <v>1375.39</v>
      </c>
      <c r="G47" s="13">
        <v>1424.44</v>
      </c>
      <c r="H47" s="14">
        <v>5405.4</v>
      </c>
      <c r="I47" s="13">
        <v>1345.24</v>
      </c>
      <c r="J47" s="13">
        <v>1395.82</v>
      </c>
      <c r="K47" s="13">
        <v>1446.91</v>
      </c>
      <c r="L47" s="13">
        <v>1498.51</v>
      </c>
      <c r="M47" s="14">
        <v>5686.48</v>
      </c>
      <c r="N47" s="13">
        <v>1415.19</v>
      </c>
      <c r="O47" s="13">
        <v>1468.41</v>
      </c>
      <c r="P47" s="13">
        <v>1522.15</v>
      </c>
      <c r="Q47" s="13">
        <v>1576.44</v>
      </c>
      <c r="R47" s="14">
        <v>5982.19</v>
      </c>
      <c r="S47" s="13">
        <v>1488.78</v>
      </c>
      <c r="T47" s="13">
        <v>1544.76</v>
      </c>
      <c r="U47" s="13">
        <v>1601.31</v>
      </c>
      <c r="V47" s="13">
        <v>1658.41</v>
      </c>
      <c r="W47" s="14">
        <v>6293.26</v>
      </c>
    </row>
    <row r="48" spans="1:23">
      <c r="A48" s="8" t="s">
        <v>72</v>
      </c>
      <c r="B48" s="27" t="s">
        <v>73</v>
      </c>
      <c r="C48" s="28"/>
      <c r="D48" s="13">
        <v>1405.15</v>
      </c>
      <c r="E48" s="13">
        <v>1457.99</v>
      </c>
      <c r="F48" s="13">
        <v>1511.35</v>
      </c>
      <c r="G48" s="13">
        <v>1565.25</v>
      </c>
      <c r="H48" s="14">
        <v>5939.74</v>
      </c>
      <c r="I48" s="13">
        <v>1478.22</v>
      </c>
      <c r="J48" s="13">
        <v>1533.8</v>
      </c>
      <c r="K48" s="13">
        <v>1589.94</v>
      </c>
      <c r="L48" s="13">
        <v>1646.64</v>
      </c>
      <c r="M48" s="14">
        <v>6248.6</v>
      </c>
      <c r="N48" s="13">
        <v>1555.08</v>
      </c>
      <c r="O48" s="13">
        <v>1613.56</v>
      </c>
      <c r="P48" s="13">
        <v>1672.62</v>
      </c>
      <c r="Q48" s="13">
        <v>1732.27</v>
      </c>
      <c r="R48" s="14">
        <v>6573.53</v>
      </c>
      <c r="S48" s="13">
        <v>1635.95</v>
      </c>
      <c r="T48" s="13">
        <v>1697.46</v>
      </c>
      <c r="U48" s="13">
        <v>1759.6</v>
      </c>
      <c r="V48" s="13">
        <v>1822.34</v>
      </c>
      <c r="W48" s="14">
        <v>6915.35</v>
      </c>
    </row>
    <row r="49" spans="1:23">
      <c r="A49" s="8" t="s">
        <v>74</v>
      </c>
      <c r="B49" s="27" t="s">
        <v>75</v>
      </c>
      <c r="C49" s="28"/>
      <c r="D49" s="13">
        <v>2919.97</v>
      </c>
      <c r="E49" s="13">
        <v>3029.77</v>
      </c>
      <c r="F49" s="13">
        <v>3140.67</v>
      </c>
      <c r="G49" s="13">
        <v>3252.66</v>
      </c>
      <c r="H49" s="14">
        <v>12343.07</v>
      </c>
      <c r="I49" s="13">
        <v>3071.82</v>
      </c>
      <c r="J49" s="13">
        <v>3187.32</v>
      </c>
      <c r="K49" s="13">
        <v>3303.99</v>
      </c>
      <c r="L49" s="13">
        <v>3421.8</v>
      </c>
      <c r="M49" s="14">
        <v>12984.93</v>
      </c>
      <c r="N49" s="13">
        <v>3231.55</v>
      </c>
      <c r="O49" s="13">
        <v>3353.06</v>
      </c>
      <c r="P49" s="13">
        <v>3475.8</v>
      </c>
      <c r="Q49" s="13">
        <v>3599.74</v>
      </c>
      <c r="R49" s="14">
        <v>13660.15</v>
      </c>
      <c r="S49" s="13">
        <v>3399.59</v>
      </c>
      <c r="T49" s="13">
        <v>3527.42</v>
      </c>
      <c r="U49" s="13">
        <v>3656.54</v>
      </c>
      <c r="V49" s="13">
        <v>3786.93</v>
      </c>
      <c r="W49" s="14">
        <v>14370.48</v>
      </c>
    </row>
    <row r="50" spans="1:23">
      <c r="A50" s="9"/>
      <c r="B50" s="9" t="s">
        <v>14</v>
      </c>
      <c r="C50" s="9" t="s">
        <v>76</v>
      </c>
      <c r="D50" s="15">
        <v>1397.16</v>
      </c>
      <c r="E50" s="16">
        <v>1449.7</v>
      </c>
      <c r="F50" s="16">
        <v>1502.76</v>
      </c>
      <c r="G50" s="16">
        <v>1556.35</v>
      </c>
      <c r="H50" s="17">
        <v>5905.97</v>
      </c>
      <c r="I50" s="16">
        <v>1469.82</v>
      </c>
      <c r="J50" s="16">
        <v>1525.09</v>
      </c>
      <c r="K50" s="16">
        <v>1580.91</v>
      </c>
      <c r="L50" s="16">
        <v>1637.28</v>
      </c>
      <c r="M50" s="17">
        <v>6213.1</v>
      </c>
      <c r="N50" s="16">
        <v>1546.25</v>
      </c>
      <c r="O50" s="16">
        <v>1604.39</v>
      </c>
      <c r="P50" s="16">
        <v>1663.12</v>
      </c>
      <c r="Q50" s="16">
        <v>1722.42</v>
      </c>
      <c r="R50" s="17">
        <v>6536.18</v>
      </c>
      <c r="S50" s="16">
        <v>1626.65</v>
      </c>
      <c r="T50" s="16">
        <v>1687.82</v>
      </c>
      <c r="U50" s="16">
        <v>1749.6</v>
      </c>
      <c r="V50" s="16">
        <v>1811.99</v>
      </c>
      <c r="W50" s="17">
        <v>6876.06</v>
      </c>
    </row>
    <row r="51" spans="1:23">
      <c r="A51" s="9"/>
      <c r="B51" s="9" t="s">
        <v>23</v>
      </c>
      <c r="C51" s="9" t="s">
        <v>77</v>
      </c>
      <c r="D51" s="15">
        <v>1522.81</v>
      </c>
      <c r="E51" s="18">
        <v>1580.07</v>
      </c>
      <c r="F51" s="18">
        <v>1637.91</v>
      </c>
      <c r="G51" s="18">
        <v>1696.31</v>
      </c>
      <c r="H51" s="19">
        <v>6437.1</v>
      </c>
      <c r="I51" s="18">
        <v>1602</v>
      </c>
      <c r="J51" s="18">
        <v>1662.23</v>
      </c>
      <c r="K51" s="18">
        <v>1723.08</v>
      </c>
      <c r="L51" s="18">
        <v>1784.52</v>
      </c>
      <c r="M51" s="19">
        <v>6771.83</v>
      </c>
      <c r="N51" s="18">
        <v>1685.3</v>
      </c>
      <c r="O51" s="18">
        <v>1748.67</v>
      </c>
      <c r="P51" s="18">
        <v>1812.68</v>
      </c>
      <c r="Q51" s="18">
        <v>1877.32</v>
      </c>
      <c r="R51" s="19">
        <v>7123.97</v>
      </c>
      <c r="S51" s="18">
        <v>1772.94</v>
      </c>
      <c r="T51" s="18">
        <v>1839.6</v>
      </c>
      <c r="U51" s="18">
        <v>1906.94</v>
      </c>
      <c r="V51" s="18">
        <v>1974.94</v>
      </c>
      <c r="W51" s="19">
        <v>7494.42</v>
      </c>
    </row>
    <row r="52" spans="1:23">
      <c r="A52" s="8" t="s">
        <v>78</v>
      </c>
      <c r="B52" s="27" t="s">
        <v>79</v>
      </c>
      <c r="C52" s="28"/>
      <c r="D52" s="13">
        <v>12339.57</v>
      </c>
      <c r="E52" s="13">
        <v>12803.56</v>
      </c>
      <c r="F52" s="13">
        <v>13272.21</v>
      </c>
      <c r="G52" s="13">
        <v>13745.51</v>
      </c>
      <c r="H52" s="14">
        <v>52160.85</v>
      </c>
      <c r="I52" s="13">
        <v>12981.23</v>
      </c>
      <c r="J52" s="13">
        <v>13469.33</v>
      </c>
      <c r="K52" s="13">
        <v>13962.36</v>
      </c>
      <c r="L52" s="13">
        <v>14460.27</v>
      </c>
      <c r="M52" s="14">
        <v>54873.19</v>
      </c>
      <c r="N52" s="13">
        <v>13656.25</v>
      </c>
      <c r="O52" s="13">
        <v>14169.76</v>
      </c>
      <c r="P52" s="13">
        <v>14688.41</v>
      </c>
      <c r="Q52" s="13">
        <v>15212.21</v>
      </c>
      <c r="R52" s="14">
        <v>57726.63</v>
      </c>
      <c r="S52" s="13">
        <v>14366.38</v>
      </c>
      <c r="T52" s="13">
        <v>14906.59</v>
      </c>
      <c r="U52" s="13">
        <v>15452.21</v>
      </c>
      <c r="V52" s="13">
        <v>16003.24</v>
      </c>
      <c r="W52" s="14">
        <v>60728.42</v>
      </c>
    </row>
    <row r="53" spans="1:23">
      <c r="A53" s="9"/>
      <c r="B53" s="9" t="s">
        <v>14</v>
      </c>
      <c r="C53" s="9" t="s">
        <v>80</v>
      </c>
      <c r="D53" s="15">
        <v>1783.38</v>
      </c>
      <c r="E53" s="16">
        <v>1850.44</v>
      </c>
      <c r="F53" s="16">
        <v>1918.17</v>
      </c>
      <c r="G53" s="16">
        <v>1986.57</v>
      </c>
      <c r="H53" s="17">
        <v>7538.56</v>
      </c>
      <c r="I53" s="16">
        <v>1876.12</v>
      </c>
      <c r="J53" s="16">
        <v>1946.66</v>
      </c>
      <c r="K53" s="16">
        <v>2017.92</v>
      </c>
      <c r="L53" s="16">
        <v>2089.88</v>
      </c>
      <c r="M53" s="17">
        <v>7930.58</v>
      </c>
      <c r="N53" s="16">
        <v>1973.68</v>
      </c>
      <c r="O53" s="16">
        <v>2047.89</v>
      </c>
      <c r="P53" s="16">
        <v>2122.85</v>
      </c>
      <c r="Q53" s="16">
        <v>2198.5500000000002</v>
      </c>
      <c r="R53" s="17">
        <v>8342.9699999999993</v>
      </c>
      <c r="S53" s="16">
        <v>2076.31</v>
      </c>
      <c r="T53" s="16">
        <v>2154.38</v>
      </c>
      <c r="U53" s="16">
        <v>2233.2399999999998</v>
      </c>
      <c r="V53" s="16">
        <v>2312.87</v>
      </c>
      <c r="W53" s="17">
        <v>8776.7999999999993</v>
      </c>
    </row>
    <row r="54" spans="1:23">
      <c r="A54" s="9"/>
      <c r="B54" s="9" t="s">
        <v>23</v>
      </c>
      <c r="C54" s="9" t="s">
        <v>81</v>
      </c>
      <c r="D54" s="15">
        <v>1918.31</v>
      </c>
      <c r="E54" s="15">
        <v>1990.44</v>
      </c>
      <c r="F54" s="15">
        <v>2063.3000000000002</v>
      </c>
      <c r="G54" s="15">
        <v>2136.88</v>
      </c>
      <c r="H54" s="14">
        <v>8108.93</v>
      </c>
      <c r="I54" s="15">
        <v>2018.06</v>
      </c>
      <c r="J54" s="15">
        <v>2093.94</v>
      </c>
      <c r="K54" s="15">
        <v>2170.59</v>
      </c>
      <c r="L54" s="15">
        <v>2247.9899999999998</v>
      </c>
      <c r="M54" s="14">
        <v>8530.58</v>
      </c>
      <c r="N54" s="15">
        <v>2123</v>
      </c>
      <c r="O54" s="15">
        <v>2202.83</v>
      </c>
      <c r="P54" s="15">
        <v>2283.46</v>
      </c>
      <c r="Q54" s="15">
        <v>2364.89</v>
      </c>
      <c r="R54" s="14">
        <v>8974.18</v>
      </c>
      <c r="S54" s="15">
        <v>2233.4</v>
      </c>
      <c r="T54" s="15">
        <v>2317.38</v>
      </c>
      <c r="U54" s="15">
        <v>2402.1999999999998</v>
      </c>
      <c r="V54" s="15">
        <v>2487.86</v>
      </c>
      <c r="W54" s="14">
        <v>9440.84</v>
      </c>
    </row>
    <row r="55" spans="1:23">
      <c r="A55" s="9"/>
      <c r="B55" s="9" t="s">
        <v>25</v>
      </c>
      <c r="C55" s="9" t="s">
        <v>82</v>
      </c>
      <c r="D55" s="15">
        <v>1912.87</v>
      </c>
      <c r="E55" s="15">
        <v>1984.79</v>
      </c>
      <c r="F55" s="15">
        <v>2057.44</v>
      </c>
      <c r="G55" s="15">
        <v>2130.81</v>
      </c>
      <c r="H55" s="14">
        <v>8085.91</v>
      </c>
      <c r="I55" s="15">
        <v>2012.33</v>
      </c>
      <c r="J55" s="15">
        <v>2088</v>
      </c>
      <c r="K55" s="15">
        <v>2164.4299999999998</v>
      </c>
      <c r="L55" s="15">
        <v>2241.61</v>
      </c>
      <c r="M55" s="14">
        <v>8506.3700000000008</v>
      </c>
      <c r="N55" s="15">
        <v>2116.98</v>
      </c>
      <c r="O55" s="15">
        <v>2196.58</v>
      </c>
      <c r="P55" s="15">
        <v>2276.98</v>
      </c>
      <c r="Q55" s="15">
        <v>2358.1799999999998</v>
      </c>
      <c r="R55" s="14">
        <v>8948.7199999999993</v>
      </c>
      <c r="S55" s="15">
        <v>2227.06</v>
      </c>
      <c r="T55" s="15">
        <v>2310.8000000000002</v>
      </c>
      <c r="U55" s="15">
        <v>2395.38</v>
      </c>
      <c r="V55" s="15">
        <v>2480.8000000000002</v>
      </c>
      <c r="W55" s="14">
        <v>9414.0400000000009</v>
      </c>
    </row>
    <row r="56" spans="1:23">
      <c r="A56" s="9"/>
      <c r="B56" s="9" t="s">
        <v>32</v>
      </c>
      <c r="C56" s="9" t="s">
        <v>83</v>
      </c>
      <c r="D56" s="15">
        <v>1890.18</v>
      </c>
      <c r="E56" s="15">
        <v>1961.26</v>
      </c>
      <c r="F56" s="15">
        <v>2033.05</v>
      </c>
      <c r="G56" s="15">
        <v>2105.5500000000002</v>
      </c>
      <c r="H56" s="14">
        <v>7990.04</v>
      </c>
      <c r="I56" s="15">
        <v>1988.47</v>
      </c>
      <c r="J56" s="15">
        <v>2063.2399999999998</v>
      </c>
      <c r="K56" s="15">
        <v>2138.7600000000002</v>
      </c>
      <c r="L56" s="15">
        <v>2215.0300000000002</v>
      </c>
      <c r="M56" s="14">
        <v>8405.5</v>
      </c>
      <c r="N56" s="15">
        <v>2091.87</v>
      </c>
      <c r="O56" s="15">
        <v>2170.5300000000002</v>
      </c>
      <c r="P56" s="15">
        <v>2249.98</v>
      </c>
      <c r="Q56" s="15">
        <v>2330.2199999999998</v>
      </c>
      <c r="R56" s="14">
        <v>8842.6</v>
      </c>
      <c r="S56" s="15">
        <v>2200.65</v>
      </c>
      <c r="T56" s="15">
        <v>2283.4</v>
      </c>
      <c r="U56" s="15">
        <v>2366.98</v>
      </c>
      <c r="V56" s="15">
        <v>2451.39</v>
      </c>
      <c r="W56" s="14">
        <v>9302.42</v>
      </c>
    </row>
    <row r="57" spans="1:23">
      <c r="A57" s="9"/>
      <c r="B57" s="9" t="s">
        <v>42</v>
      </c>
      <c r="C57" s="9" t="s">
        <v>84</v>
      </c>
      <c r="D57" s="15">
        <v>435.76</v>
      </c>
      <c r="E57" s="15">
        <v>452.14</v>
      </c>
      <c r="F57" s="15">
        <v>468.69</v>
      </c>
      <c r="G57" s="15">
        <v>485.41</v>
      </c>
      <c r="H57" s="14">
        <v>1842</v>
      </c>
      <c r="I57" s="15">
        <v>458.42</v>
      </c>
      <c r="J57" s="15">
        <v>475.65</v>
      </c>
      <c r="K57" s="15">
        <v>493.06</v>
      </c>
      <c r="L57" s="15">
        <v>510.65</v>
      </c>
      <c r="M57" s="14">
        <v>1937.78</v>
      </c>
      <c r="N57" s="15">
        <v>482.25</v>
      </c>
      <c r="O57" s="15">
        <v>500.39</v>
      </c>
      <c r="P57" s="15">
        <v>518.70000000000005</v>
      </c>
      <c r="Q57" s="15">
        <v>537.20000000000005</v>
      </c>
      <c r="R57" s="14">
        <v>2038.54</v>
      </c>
      <c r="S57" s="15">
        <v>507.33</v>
      </c>
      <c r="T57" s="15">
        <v>526.41</v>
      </c>
      <c r="U57" s="15">
        <v>545.67999999999995</v>
      </c>
      <c r="V57" s="15">
        <v>565.14</v>
      </c>
      <c r="W57" s="14">
        <v>2144.56</v>
      </c>
    </row>
    <row r="58" spans="1:23">
      <c r="A58" s="9"/>
      <c r="B58" s="9" t="s">
        <v>44</v>
      </c>
      <c r="C58" s="9" t="s">
        <v>85</v>
      </c>
      <c r="D58" s="15">
        <v>4399.07</v>
      </c>
      <c r="E58" s="18">
        <v>4564.49</v>
      </c>
      <c r="F58" s="18">
        <v>4731.5600000000004</v>
      </c>
      <c r="G58" s="18">
        <v>4900.29</v>
      </c>
      <c r="H58" s="14">
        <v>18595.41</v>
      </c>
      <c r="I58" s="18">
        <v>4627.83</v>
      </c>
      <c r="J58" s="18">
        <v>4801.84</v>
      </c>
      <c r="K58" s="18">
        <v>4977.6000000000004</v>
      </c>
      <c r="L58" s="18">
        <v>5155.1099999999997</v>
      </c>
      <c r="M58" s="19">
        <v>19562.38</v>
      </c>
      <c r="N58" s="18">
        <v>4868.47</v>
      </c>
      <c r="O58" s="18">
        <v>5051.54</v>
      </c>
      <c r="P58" s="18">
        <v>5236.4399999999996</v>
      </c>
      <c r="Q58" s="18">
        <v>5423.17</v>
      </c>
      <c r="R58" s="14">
        <v>20579.62</v>
      </c>
      <c r="S58" s="18">
        <v>5121.63</v>
      </c>
      <c r="T58" s="18">
        <v>5314.22</v>
      </c>
      <c r="U58" s="18">
        <v>5508.73</v>
      </c>
      <c r="V58" s="18">
        <v>5705.18</v>
      </c>
      <c r="W58" s="14">
        <v>21649.759999999998</v>
      </c>
    </row>
    <row r="59" spans="1:23">
      <c r="A59" s="8" t="s">
        <v>8</v>
      </c>
      <c r="B59" s="27" t="s">
        <v>86</v>
      </c>
      <c r="C59" s="28"/>
      <c r="D59" s="13">
        <v>7517.76</v>
      </c>
      <c r="E59" s="13">
        <v>7800.45</v>
      </c>
      <c r="F59" s="13">
        <v>8085.96</v>
      </c>
      <c r="G59" s="13">
        <v>8374.31</v>
      </c>
      <c r="H59" s="14">
        <v>31778.48</v>
      </c>
      <c r="I59" s="13">
        <v>7908.68</v>
      </c>
      <c r="J59" s="13">
        <v>8206.07</v>
      </c>
      <c r="K59" s="13">
        <v>8506.44</v>
      </c>
      <c r="L59" s="13">
        <v>8809.7800000000007</v>
      </c>
      <c r="M59" s="19">
        <v>33430.97</v>
      </c>
      <c r="N59" s="13">
        <v>8319.93</v>
      </c>
      <c r="O59" s="13">
        <v>8632.7900000000009</v>
      </c>
      <c r="P59" s="13">
        <v>8948.76</v>
      </c>
      <c r="Q59" s="13">
        <v>9267.89</v>
      </c>
      <c r="R59" s="14">
        <v>35169.370000000003</v>
      </c>
      <c r="S59" s="13">
        <v>8752.57</v>
      </c>
      <c r="T59" s="13">
        <v>9081.68</v>
      </c>
      <c r="U59" s="13">
        <v>9414.1</v>
      </c>
      <c r="V59" s="13">
        <v>9749.81</v>
      </c>
      <c r="W59" s="14">
        <v>36998.160000000003</v>
      </c>
    </row>
    <row r="60" spans="1:23">
      <c r="A60" s="9"/>
      <c r="B60" s="9" t="s">
        <v>14</v>
      </c>
      <c r="C60" s="9" t="s">
        <v>87</v>
      </c>
      <c r="D60" s="15">
        <v>732.49</v>
      </c>
      <c r="E60" s="16">
        <v>760.03</v>
      </c>
      <c r="F60" s="16">
        <v>787.85</v>
      </c>
      <c r="G60" s="16">
        <v>815.94</v>
      </c>
      <c r="H60" s="14">
        <v>3096.31</v>
      </c>
      <c r="I60" s="16">
        <v>770.57</v>
      </c>
      <c r="J60" s="16">
        <v>799.55</v>
      </c>
      <c r="K60" s="16">
        <v>828.82</v>
      </c>
      <c r="L60" s="16">
        <v>858.37</v>
      </c>
      <c r="M60" s="19">
        <v>3257.31</v>
      </c>
      <c r="N60" s="16">
        <v>810.64</v>
      </c>
      <c r="O60" s="16">
        <v>841.13</v>
      </c>
      <c r="P60" s="16">
        <v>871.91</v>
      </c>
      <c r="Q60" s="16">
        <v>903.01</v>
      </c>
      <c r="R60" s="14">
        <v>3426.69</v>
      </c>
      <c r="S60" s="16">
        <v>852.8</v>
      </c>
      <c r="T60" s="16">
        <v>884.86</v>
      </c>
      <c r="U60" s="16">
        <v>917.25</v>
      </c>
      <c r="V60" s="16">
        <v>949.96</v>
      </c>
      <c r="W60" s="14">
        <v>3604.87</v>
      </c>
    </row>
    <row r="61" spans="1:23">
      <c r="A61" s="9"/>
      <c r="B61" s="9" t="s">
        <v>23</v>
      </c>
      <c r="C61" s="9" t="s">
        <v>88</v>
      </c>
      <c r="D61" s="15">
        <v>6785.27</v>
      </c>
      <c r="E61" s="15">
        <v>7040.42</v>
      </c>
      <c r="F61" s="15">
        <v>7298.11</v>
      </c>
      <c r="G61" s="15">
        <v>7558.37</v>
      </c>
      <c r="H61" s="14">
        <v>28682.17</v>
      </c>
      <c r="I61" s="15">
        <v>7138.11</v>
      </c>
      <c r="J61" s="15">
        <v>7406.52</v>
      </c>
      <c r="K61" s="15">
        <v>7677.62</v>
      </c>
      <c r="L61" s="15">
        <v>7951.41</v>
      </c>
      <c r="M61" s="19">
        <v>30173.66</v>
      </c>
      <c r="N61" s="15">
        <v>7509.29</v>
      </c>
      <c r="O61" s="15">
        <v>7791.66</v>
      </c>
      <c r="P61" s="15">
        <v>8076.85</v>
      </c>
      <c r="Q61" s="15">
        <v>8364.8799999999992</v>
      </c>
      <c r="R61" s="14">
        <v>31742.68</v>
      </c>
      <c r="S61" s="15">
        <v>7899.77</v>
      </c>
      <c r="T61" s="15">
        <v>8196.82</v>
      </c>
      <c r="U61" s="15">
        <v>8496.85</v>
      </c>
      <c r="V61" s="15">
        <v>8799.85</v>
      </c>
      <c r="W61" s="14">
        <v>33393.29</v>
      </c>
    </row>
    <row r="62" spans="1:23">
      <c r="A62" s="8" t="s">
        <v>89</v>
      </c>
      <c r="B62" s="27" t="s">
        <v>90</v>
      </c>
      <c r="C62" s="28"/>
      <c r="D62" s="13">
        <v>7735.42</v>
      </c>
      <c r="E62" s="13">
        <v>8026.29</v>
      </c>
      <c r="F62" s="13">
        <v>8320.08</v>
      </c>
      <c r="G62" s="13">
        <v>8616.7800000000007</v>
      </c>
      <c r="H62" s="14">
        <v>32698.57</v>
      </c>
      <c r="I62" s="13">
        <v>8137.67</v>
      </c>
      <c r="J62" s="13">
        <v>8443.66</v>
      </c>
      <c r="K62" s="13">
        <v>8752.7199999999993</v>
      </c>
      <c r="L62" s="13">
        <v>9064.85</v>
      </c>
      <c r="M62" s="14">
        <v>34398.9</v>
      </c>
      <c r="N62" s="13">
        <v>8560.82</v>
      </c>
      <c r="O62" s="13">
        <v>8882.73</v>
      </c>
      <c r="P62" s="13">
        <v>9207.86</v>
      </c>
      <c r="Q62" s="13">
        <v>9536.2199999999993</v>
      </c>
      <c r="R62" s="14">
        <v>36187.629999999997</v>
      </c>
      <c r="S62" s="13">
        <v>9005.99</v>
      </c>
      <c r="T62" s="13">
        <v>9344.6299999999992</v>
      </c>
      <c r="U62" s="13">
        <v>9686.67</v>
      </c>
      <c r="V62" s="13">
        <v>10032.1</v>
      </c>
      <c r="W62" s="14">
        <v>38069.39</v>
      </c>
    </row>
    <row r="63" spans="1:23">
      <c r="A63" s="8" t="s">
        <v>91</v>
      </c>
      <c r="B63" s="27" t="s">
        <v>92</v>
      </c>
      <c r="C63" s="28"/>
      <c r="D63" s="13">
        <v>13209.2</v>
      </c>
      <c r="E63" s="13">
        <v>13705.89</v>
      </c>
      <c r="F63" s="13">
        <v>14207.57</v>
      </c>
      <c r="G63" s="13">
        <v>14714.22</v>
      </c>
      <c r="H63" s="14">
        <v>55836.88</v>
      </c>
      <c r="I63" s="13">
        <v>13896.08</v>
      </c>
      <c r="J63" s="13">
        <v>14418.59</v>
      </c>
      <c r="K63" s="13">
        <v>14946.36</v>
      </c>
      <c r="L63" s="13">
        <v>15479.35</v>
      </c>
      <c r="M63" s="14">
        <v>58740.38</v>
      </c>
      <c r="N63" s="13">
        <v>14618.68</v>
      </c>
      <c r="O63" s="13">
        <v>15168.37</v>
      </c>
      <c r="P63" s="13">
        <v>15723.56</v>
      </c>
      <c r="Q63" s="13">
        <v>16284.28</v>
      </c>
      <c r="R63" s="14">
        <v>61794.89</v>
      </c>
      <c r="S63" s="13">
        <v>15378.84</v>
      </c>
      <c r="T63" s="13">
        <v>15957.13</v>
      </c>
      <c r="U63" s="13">
        <v>16541.2</v>
      </c>
      <c r="V63" s="13">
        <v>17131.060000000001</v>
      </c>
      <c r="W63" s="14">
        <v>65008.23</v>
      </c>
    </row>
    <row r="64" spans="1:23">
      <c r="A64" s="9"/>
      <c r="B64" s="9" t="s">
        <v>14</v>
      </c>
      <c r="C64" s="9" t="s">
        <v>93</v>
      </c>
      <c r="D64" s="15">
        <v>1050.77</v>
      </c>
      <c r="E64" s="15">
        <v>1090.28</v>
      </c>
      <c r="F64" s="15">
        <v>1130.19</v>
      </c>
      <c r="G64" s="15">
        <v>1170.49</v>
      </c>
      <c r="H64" s="14">
        <v>4441.7299999999996</v>
      </c>
      <c r="I64" s="15">
        <v>1105.4100000000001</v>
      </c>
      <c r="J64" s="15">
        <v>1146.97</v>
      </c>
      <c r="K64" s="15">
        <v>1188.96</v>
      </c>
      <c r="L64" s="15">
        <v>1231.3499999999999</v>
      </c>
      <c r="M64" s="14">
        <v>4672.6899999999996</v>
      </c>
      <c r="N64" s="15">
        <v>1162.8900000000001</v>
      </c>
      <c r="O64" s="15">
        <v>1206.6199999999999</v>
      </c>
      <c r="P64" s="15">
        <v>1250.78</v>
      </c>
      <c r="Q64" s="15">
        <v>1295.3800000000001</v>
      </c>
      <c r="R64" s="14">
        <v>4915.67</v>
      </c>
      <c r="S64" s="15">
        <v>1223.3599999999999</v>
      </c>
      <c r="T64" s="15">
        <v>1269.3599999999999</v>
      </c>
      <c r="U64" s="15">
        <v>1315.82</v>
      </c>
      <c r="V64" s="15">
        <v>1362.74</v>
      </c>
      <c r="W64" s="14">
        <v>5171.28</v>
      </c>
    </row>
    <row r="65" spans="1:23">
      <c r="A65" s="9"/>
      <c r="B65" s="9" t="s">
        <v>23</v>
      </c>
      <c r="C65" s="9" t="s">
        <v>94</v>
      </c>
      <c r="D65" s="15">
        <v>1094.43</v>
      </c>
      <c r="E65" s="15">
        <v>1135.58</v>
      </c>
      <c r="F65" s="15">
        <v>1177.1500000000001</v>
      </c>
      <c r="G65" s="15">
        <v>1219.1300000000001</v>
      </c>
      <c r="H65" s="14">
        <v>4626.29</v>
      </c>
      <c r="I65" s="15">
        <v>1151.3399999999999</v>
      </c>
      <c r="J65" s="15">
        <v>1194.6300000000001</v>
      </c>
      <c r="K65" s="15">
        <v>1238.3599999999999</v>
      </c>
      <c r="L65" s="15">
        <v>1282.52</v>
      </c>
      <c r="M65" s="14">
        <v>4866.8500000000004</v>
      </c>
      <c r="N65" s="15">
        <v>1211.21</v>
      </c>
      <c r="O65" s="15">
        <v>1256.75</v>
      </c>
      <c r="P65" s="15">
        <v>1302.75</v>
      </c>
      <c r="Q65" s="15">
        <v>1349.21</v>
      </c>
      <c r="R65" s="14">
        <v>5119.92</v>
      </c>
      <c r="S65" s="15">
        <v>1274.19</v>
      </c>
      <c r="T65" s="15">
        <v>1322.11</v>
      </c>
      <c r="U65" s="15">
        <v>1370.5</v>
      </c>
      <c r="V65" s="15">
        <v>1419.37</v>
      </c>
      <c r="W65" s="14">
        <v>5386.17</v>
      </c>
    </row>
    <row r="66" spans="1:23">
      <c r="A66" s="9"/>
      <c r="B66" s="9" t="s">
        <v>25</v>
      </c>
      <c r="C66" s="9" t="s">
        <v>95</v>
      </c>
      <c r="D66" s="15">
        <v>9724.27</v>
      </c>
      <c r="E66" s="15">
        <v>10089.92</v>
      </c>
      <c r="F66" s="15">
        <v>10459.24</v>
      </c>
      <c r="G66" s="15">
        <v>10832.22</v>
      </c>
      <c r="H66" s="14">
        <v>41105.65</v>
      </c>
      <c r="I66" s="15">
        <v>10229.93</v>
      </c>
      <c r="J66" s="15">
        <v>10614.6</v>
      </c>
      <c r="K66" s="15">
        <v>11003.12</v>
      </c>
      <c r="L66" s="15">
        <v>11395.5</v>
      </c>
      <c r="M66" s="14">
        <v>43243.15</v>
      </c>
      <c r="N66" s="15">
        <v>10761.89</v>
      </c>
      <c r="O66" s="15">
        <v>11166.56</v>
      </c>
      <c r="P66" s="15">
        <v>11575.28</v>
      </c>
      <c r="Q66" s="15">
        <v>11988.07</v>
      </c>
      <c r="R66" s="14">
        <v>45491.8</v>
      </c>
      <c r="S66" s="15">
        <v>11321.5</v>
      </c>
      <c r="T66" s="15">
        <v>11747.22</v>
      </c>
      <c r="U66" s="15">
        <v>12177.2</v>
      </c>
      <c r="V66" s="15">
        <v>12611.45</v>
      </c>
      <c r="W66" s="14">
        <v>47857.37</v>
      </c>
    </row>
    <row r="67" spans="1:23">
      <c r="A67" s="9"/>
      <c r="B67" s="9" t="s">
        <v>32</v>
      </c>
      <c r="C67" s="9" t="s">
        <v>96</v>
      </c>
      <c r="D67" s="15">
        <v>1339.73</v>
      </c>
      <c r="E67" s="15">
        <v>1390.11</v>
      </c>
      <c r="F67" s="15">
        <v>1440.99</v>
      </c>
      <c r="G67" s="15">
        <v>1492.38</v>
      </c>
      <c r="H67" s="14">
        <v>5663.21</v>
      </c>
      <c r="I67" s="15">
        <v>1409.4</v>
      </c>
      <c r="J67" s="15">
        <v>1462.39</v>
      </c>
      <c r="K67" s="15">
        <v>1515.92</v>
      </c>
      <c r="L67" s="15">
        <v>1569.98</v>
      </c>
      <c r="M67" s="14">
        <v>5957.69</v>
      </c>
      <c r="N67" s="15">
        <v>1482.69</v>
      </c>
      <c r="O67" s="15">
        <v>1538.44</v>
      </c>
      <c r="P67" s="15">
        <v>1594.75</v>
      </c>
      <c r="Q67" s="15">
        <v>1651.62</v>
      </c>
      <c r="R67" s="14">
        <v>6267.5</v>
      </c>
      <c r="S67" s="15">
        <v>1559.79</v>
      </c>
      <c r="T67" s="15">
        <v>1618.44</v>
      </c>
      <c r="U67" s="15">
        <v>1677.68</v>
      </c>
      <c r="V67" s="15">
        <v>1737.5</v>
      </c>
      <c r="W67" s="14">
        <v>6593.41</v>
      </c>
    </row>
    <row r="68" spans="1:23">
      <c r="A68" s="8" t="s">
        <v>97</v>
      </c>
      <c r="B68" s="27" t="s">
        <v>98</v>
      </c>
      <c r="C68" s="28"/>
      <c r="D68" s="13">
        <v>1467.02</v>
      </c>
      <c r="E68" s="13">
        <v>1522.19</v>
      </c>
      <c r="F68" s="13">
        <v>1577.9</v>
      </c>
      <c r="G68" s="13">
        <v>1634.17</v>
      </c>
      <c r="H68" s="14">
        <v>6201.28</v>
      </c>
      <c r="I68" s="13">
        <v>1543.31</v>
      </c>
      <c r="J68" s="13">
        <v>1601.34</v>
      </c>
      <c r="K68" s="13">
        <v>1659.95</v>
      </c>
      <c r="L68" s="13">
        <v>1719.15</v>
      </c>
      <c r="M68" s="14">
        <v>6523.75</v>
      </c>
      <c r="N68" s="13">
        <v>1623.56</v>
      </c>
      <c r="O68" s="13">
        <v>1684.61</v>
      </c>
      <c r="P68" s="13">
        <v>1746.27</v>
      </c>
      <c r="Q68" s="13">
        <v>1808.54</v>
      </c>
      <c r="R68" s="14">
        <v>6862.98</v>
      </c>
      <c r="S68" s="13">
        <v>1707.99</v>
      </c>
      <c r="T68" s="13">
        <v>1772.21</v>
      </c>
      <c r="U68" s="13">
        <v>1837.08</v>
      </c>
      <c r="V68" s="13">
        <v>1902.59</v>
      </c>
      <c r="W68" s="14">
        <v>7219.87</v>
      </c>
    </row>
    <row r="69" spans="1:23">
      <c r="A69" s="8" t="s">
        <v>99</v>
      </c>
      <c r="B69" s="27" t="s">
        <v>100</v>
      </c>
      <c r="C69" s="28"/>
      <c r="D69" s="13">
        <v>12779.28</v>
      </c>
      <c r="E69" s="13">
        <v>13259.8</v>
      </c>
      <c r="F69" s="13">
        <v>13745.15</v>
      </c>
      <c r="G69" s="13">
        <v>14235.31</v>
      </c>
      <c r="H69" s="14">
        <v>54019.54</v>
      </c>
      <c r="I69" s="13">
        <v>13443.8</v>
      </c>
      <c r="J69" s="13">
        <v>13949.31</v>
      </c>
      <c r="K69" s="13">
        <v>14459.9</v>
      </c>
      <c r="L69" s="13">
        <v>14975.55</v>
      </c>
      <c r="M69" s="14">
        <v>56828.56</v>
      </c>
      <c r="N69" s="13">
        <v>14142.87</v>
      </c>
      <c r="O69" s="13">
        <v>14674.68</v>
      </c>
      <c r="P69" s="13">
        <v>15211.81</v>
      </c>
      <c r="Q69" s="13">
        <v>15754.27</v>
      </c>
      <c r="R69" s="14">
        <v>59783.63</v>
      </c>
      <c r="S69" s="13">
        <v>14878.3</v>
      </c>
      <c r="T69" s="13">
        <v>15437.76</v>
      </c>
      <c r="U69" s="13">
        <v>16002.82</v>
      </c>
      <c r="V69" s="13">
        <v>16573.5</v>
      </c>
      <c r="W69" s="14">
        <v>62892.38</v>
      </c>
    </row>
    <row r="70" spans="1:23">
      <c r="A70" s="8" t="s">
        <v>101</v>
      </c>
      <c r="B70" s="27" t="s">
        <v>102</v>
      </c>
      <c r="C70" s="28"/>
      <c r="D70" s="13">
        <v>11651</v>
      </c>
      <c r="E70" s="13">
        <v>12089.1</v>
      </c>
      <c r="F70" s="13">
        <v>12531.6</v>
      </c>
      <c r="G70" s="13">
        <v>12978.48</v>
      </c>
      <c r="H70" s="14">
        <v>49250.18</v>
      </c>
      <c r="I70" s="13">
        <v>12256.85</v>
      </c>
      <c r="J70" s="13">
        <v>12717.74</v>
      </c>
      <c r="K70" s="13">
        <v>13183.24</v>
      </c>
      <c r="L70" s="13">
        <v>13653.36</v>
      </c>
      <c r="M70" s="14">
        <v>51811.19</v>
      </c>
      <c r="N70" s="13">
        <v>12894.21</v>
      </c>
      <c r="O70" s="13">
        <v>13379.06</v>
      </c>
      <c r="P70" s="13">
        <v>13868.77</v>
      </c>
      <c r="Q70" s="13">
        <v>14363.34</v>
      </c>
      <c r="R70" s="14">
        <v>54505.38</v>
      </c>
      <c r="S70" s="13">
        <v>13564.71</v>
      </c>
      <c r="T70" s="13">
        <v>14074.77</v>
      </c>
      <c r="U70" s="13">
        <v>14589.94</v>
      </c>
      <c r="V70" s="13">
        <v>15110.23</v>
      </c>
      <c r="W70" s="14">
        <v>57339.65</v>
      </c>
    </row>
    <row r="71" spans="1:23">
      <c r="A71" s="8" t="s">
        <v>103</v>
      </c>
      <c r="B71" s="27" t="s">
        <v>104</v>
      </c>
      <c r="C71" s="27"/>
      <c r="D71" s="20">
        <v>12663.26</v>
      </c>
      <c r="E71" s="13">
        <v>13139.43</v>
      </c>
      <c r="F71" s="13">
        <v>13620.37</v>
      </c>
      <c r="G71" s="13">
        <v>14106.08</v>
      </c>
      <c r="H71" s="14">
        <v>53529.14</v>
      </c>
      <c r="I71" s="13">
        <v>13321.75</v>
      </c>
      <c r="J71" s="13">
        <v>13822.68</v>
      </c>
      <c r="K71" s="13">
        <v>14328.62</v>
      </c>
      <c r="L71" s="13">
        <v>14839.59</v>
      </c>
      <c r="M71" s="14">
        <v>56312.639999999999</v>
      </c>
      <c r="N71" s="13">
        <v>14014.48</v>
      </c>
      <c r="O71" s="13">
        <v>14541.46</v>
      </c>
      <c r="P71" s="13">
        <v>15073.71</v>
      </c>
      <c r="Q71" s="13">
        <v>15611.25</v>
      </c>
      <c r="R71" s="14">
        <v>59240.9</v>
      </c>
      <c r="S71" s="13">
        <v>14743.24</v>
      </c>
      <c r="T71" s="13">
        <v>15297.61</v>
      </c>
      <c r="U71" s="13">
        <v>15857.55</v>
      </c>
      <c r="V71" s="13">
        <v>16423.04</v>
      </c>
      <c r="W71" s="14">
        <v>62321.440000000002</v>
      </c>
    </row>
    <row r="72" spans="1:23">
      <c r="A72" s="8" t="s">
        <v>105</v>
      </c>
      <c r="B72" s="27" t="s">
        <v>106</v>
      </c>
      <c r="C72" s="27"/>
      <c r="D72" s="20">
        <v>13700.28</v>
      </c>
      <c r="E72" s="13">
        <v>14215.44</v>
      </c>
      <c r="F72" s="13">
        <v>14735.76</v>
      </c>
      <c r="G72" s="13">
        <v>15261.25</v>
      </c>
      <c r="H72" s="14">
        <v>57912.73</v>
      </c>
      <c r="I72" s="13">
        <v>14412.69</v>
      </c>
      <c r="J72" s="13">
        <v>14954.64</v>
      </c>
      <c r="K72" s="13">
        <v>15502.02</v>
      </c>
      <c r="L72" s="13">
        <v>16054.83</v>
      </c>
      <c r="M72" s="14">
        <v>60924.18</v>
      </c>
      <c r="N72" s="13">
        <v>15162.15</v>
      </c>
      <c r="O72" s="13">
        <v>15732.28</v>
      </c>
      <c r="P72" s="13">
        <v>16308.12</v>
      </c>
      <c r="Q72" s="13">
        <v>16889.68</v>
      </c>
      <c r="R72" s="14">
        <v>64092.23</v>
      </c>
      <c r="S72" s="13">
        <v>15950.58</v>
      </c>
      <c r="T72" s="13">
        <v>16550.36</v>
      </c>
      <c r="U72" s="13">
        <v>17156.150000000001</v>
      </c>
      <c r="V72" s="13">
        <v>17767.95</v>
      </c>
      <c r="W72" s="14">
        <v>67425.039999999994</v>
      </c>
    </row>
    <row r="73" spans="1:23">
      <c r="A73" s="8" t="s">
        <v>107</v>
      </c>
      <c r="B73" s="27" t="s">
        <v>108</v>
      </c>
      <c r="C73" s="27"/>
      <c r="D73" s="20">
        <v>14762.05</v>
      </c>
      <c r="E73" s="13">
        <v>15317.13</v>
      </c>
      <c r="F73" s="13">
        <v>15877.78</v>
      </c>
      <c r="G73" s="13">
        <v>16443.990000000002</v>
      </c>
      <c r="H73" s="14">
        <v>62400.95</v>
      </c>
      <c r="I73" s="13">
        <v>15529.67</v>
      </c>
      <c r="J73" s="13">
        <v>16113.62</v>
      </c>
      <c r="K73" s="13">
        <v>16703.419999999998</v>
      </c>
      <c r="L73" s="13">
        <v>17299.080000000002</v>
      </c>
      <c r="M73" s="14">
        <v>65645.789999999994</v>
      </c>
      <c r="N73" s="13">
        <v>16337.22</v>
      </c>
      <c r="O73" s="13">
        <v>16951.53</v>
      </c>
      <c r="P73" s="13">
        <v>17572</v>
      </c>
      <c r="Q73" s="13">
        <v>18198.63</v>
      </c>
      <c r="R73" s="14">
        <v>69059.38</v>
      </c>
      <c r="S73" s="13">
        <v>17186.75</v>
      </c>
      <c r="T73" s="13">
        <v>17833.009999999998</v>
      </c>
      <c r="U73" s="13">
        <v>18485.75</v>
      </c>
      <c r="V73" s="13">
        <v>19144.96</v>
      </c>
      <c r="W73" s="14">
        <v>72650.47</v>
      </c>
    </row>
    <row r="74" spans="1:23">
      <c r="A74" s="34" t="s">
        <v>109</v>
      </c>
      <c r="B74" s="34"/>
      <c r="C74" s="34"/>
      <c r="D74" s="21">
        <v>154059.97</v>
      </c>
      <c r="E74" s="21">
        <v>159852.94</v>
      </c>
      <c r="F74" s="21">
        <v>165704.01</v>
      </c>
      <c r="G74" s="21">
        <v>171613.16</v>
      </c>
      <c r="H74" s="21">
        <v>651230.07999999996</v>
      </c>
      <c r="I74" s="21">
        <v>162071.10999999999</v>
      </c>
      <c r="J74" s="21">
        <v>168165.26</v>
      </c>
      <c r="K74" s="21">
        <v>174320.6</v>
      </c>
      <c r="L74" s="21">
        <v>180537.03</v>
      </c>
      <c r="M74" s="21">
        <v>685094</v>
      </c>
      <c r="N74" s="21">
        <v>170498.79</v>
      </c>
      <c r="O74" s="21">
        <v>176909.96</v>
      </c>
      <c r="P74" s="21">
        <v>183385.27</v>
      </c>
      <c r="Q74" s="21">
        <v>189924.94</v>
      </c>
      <c r="R74" s="21">
        <v>720718.96</v>
      </c>
      <c r="S74" s="21">
        <v>179364.75</v>
      </c>
      <c r="T74" s="21">
        <v>186109.24</v>
      </c>
      <c r="U74" s="21">
        <v>192921.36</v>
      </c>
      <c r="V74" s="21">
        <v>199801.06</v>
      </c>
      <c r="W74" s="21">
        <v>758196.41</v>
      </c>
    </row>
    <row r="75" spans="1:23">
      <c r="A75" s="34" t="s">
        <v>110</v>
      </c>
      <c r="B75" s="34"/>
      <c r="C75" s="34"/>
      <c r="D75" s="21">
        <v>152305.47</v>
      </c>
      <c r="E75" s="21">
        <v>158032.46</v>
      </c>
      <c r="F75" s="21">
        <v>163816.9</v>
      </c>
      <c r="G75" s="21">
        <v>169658.76</v>
      </c>
      <c r="H75" s="21">
        <v>643813.59</v>
      </c>
      <c r="I75" s="21">
        <v>160225.37</v>
      </c>
      <c r="J75" s="21">
        <v>166250.12</v>
      </c>
      <c r="K75" s="21">
        <v>172335.35999999999</v>
      </c>
      <c r="L75" s="21">
        <v>178481</v>
      </c>
      <c r="M75" s="21">
        <v>677291.85</v>
      </c>
      <c r="N75" s="21">
        <v>168557.07</v>
      </c>
      <c r="O75" s="21">
        <v>174895.23</v>
      </c>
      <c r="P75" s="21">
        <v>181296.8</v>
      </c>
      <c r="Q75" s="21">
        <v>187761.99</v>
      </c>
      <c r="R75" s="21">
        <v>712511.09</v>
      </c>
      <c r="S75" s="21">
        <v>177322.06</v>
      </c>
      <c r="T75" s="21">
        <v>183989.74</v>
      </c>
      <c r="U75" s="21">
        <v>190724.29</v>
      </c>
      <c r="V75" s="21">
        <v>197525.64</v>
      </c>
      <c r="W75" s="21">
        <v>749561.73</v>
      </c>
    </row>
    <row r="76" spans="1:23">
      <c r="A76" s="1"/>
      <c r="B76" s="1"/>
      <c r="C76" s="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>
      <c r="A77" s="1"/>
      <c r="B77" s="1"/>
      <c r="C77" s="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5">
      <c r="A78" s="29" t="s">
        <v>111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</row>
    <row r="79" spans="1:23" ht="15">
      <c r="A79" s="30" t="s">
        <v>1</v>
      </c>
      <c r="B79" s="3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">
      <c r="A81" s="31" t="s">
        <v>2</v>
      </c>
      <c r="B81" s="32" t="s">
        <v>3</v>
      </c>
      <c r="C81" s="32"/>
      <c r="D81" s="33" t="s">
        <v>4</v>
      </c>
      <c r="E81" s="33"/>
      <c r="F81" s="33"/>
      <c r="G81" s="33"/>
      <c r="H81" s="33"/>
      <c r="I81" s="33" t="s">
        <v>5</v>
      </c>
      <c r="J81" s="33"/>
      <c r="K81" s="33"/>
      <c r="L81" s="33"/>
      <c r="M81" s="33"/>
      <c r="N81" s="33" t="s">
        <v>6</v>
      </c>
      <c r="O81" s="33"/>
      <c r="P81" s="33"/>
      <c r="Q81" s="33"/>
      <c r="R81" s="33"/>
      <c r="S81" s="33" t="s">
        <v>7</v>
      </c>
      <c r="T81" s="33"/>
      <c r="U81" s="33"/>
      <c r="V81" s="33"/>
      <c r="W81" s="33"/>
    </row>
    <row r="82" spans="1:23" ht="15">
      <c r="A82" s="31"/>
      <c r="B82" s="32"/>
      <c r="C82" s="32"/>
      <c r="D82" s="3" t="s">
        <v>8</v>
      </c>
      <c r="E82" s="3" t="s">
        <v>9</v>
      </c>
      <c r="F82" s="3" t="s">
        <v>10</v>
      </c>
      <c r="G82" s="3" t="s">
        <v>11</v>
      </c>
      <c r="H82" s="3" t="s">
        <v>128</v>
      </c>
      <c r="I82" s="3" t="s">
        <v>8</v>
      </c>
      <c r="J82" s="3" t="s">
        <v>9</v>
      </c>
      <c r="K82" s="3" t="s">
        <v>10</v>
      </c>
      <c r="L82" s="3" t="s">
        <v>11</v>
      </c>
      <c r="M82" s="3" t="s">
        <v>128</v>
      </c>
      <c r="N82" s="3" t="s">
        <v>8</v>
      </c>
      <c r="O82" s="3" t="s">
        <v>9</v>
      </c>
      <c r="P82" s="3" t="s">
        <v>10</v>
      </c>
      <c r="Q82" s="3" t="s">
        <v>11</v>
      </c>
      <c r="R82" s="3" t="s">
        <v>128</v>
      </c>
      <c r="S82" s="3" t="s">
        <v>8</v>
      </c>
      <c r="T82" s="3" t="s">
        <v>9</v>
      </c>
      <c r="U82" s="3" t="s">
        <v>10</v>
      </c>
      <c r="V82" s="3" t="s">
        <v>11</v>
      </c>
      <c r="W82" s="3" t="s">
        <v>128</v>
      </c>
    </row>
    <row r="83" spans="1:23">
      <c r="A83" s="1"/>
      <c r="B83" s="1"/>
      <c r="C83" s="1"/>
      <c r="D83" s="1"/>
      <c r="E83" s="1"/>
      <c r="F83" s="1"/>
      <c r="G83" s="1"/>
      <c r="H83" s="6"/>
      <c r="I83" s="1"/>
      <c r="J83" s="1"/>
      <c r="K83" s="1"/>
      <c r="L83" s="1"/>
      <c r="M83" s="6"/>
      <c r="N83" s="1"/>
      <c r="O83" s="1"/>
      <c r="P83" s="1"/>
      <c r="Q83" s="1"/>
      <c r="R83" s="6"/>
      <c r="S83" s="1"/>
      <c r="T83" s="1"/>
      <c r="U83" s="1"/>
      <c r="V83" s="1"/>
      <c r="W83" s="6"/>
    </row>
    <row r="84" spans="1:23">
      <c r="A84" s="4" t="s">
        <v>14</v>
      </c>
      <c r="B84" s="11"/>
      <c r="C84" s="4">
        <f>A84+1</f>
        <v>2</v>
      </c>
      <c r="D84" s="4">
        <f>C84+1</f>
        <v>3</v>
      </c>
      <c r="E84" s="4">
        <f t="shared" ref="E84:W84" si="1">D84+1</f>
        <v>4</v>
      </c>
      <c r="F84" s="4">
        <f t="shared" si="1"/>
        <v>5</v>
      </c>
      <c r="G84" s="4">
        <f t="shared" si="1"/>
        <v>6</v>
      </c>
      <c r="H84" s="7">
        <f t="shared" si="1"/>
        <v>7</v>
      </c>
      <c r="I84" s="4">
        <f t="shared" si="1"/>
        <v>8</v>
      </c>
      <c r="J84" s="4">
        <f t="shared" si="1"/>
        <v>9</v>
      </c>
      <c r="K84" s="4">
        <f t="shared" si="1"/>
        <v>10</v>
      </c>
      <c r="L84" s="4">
        <f t="shared" si="1"/>
        <v>11</v>
      </c>
      <c r="M84" s="7">
        <f t="shared" si="1"/>
        <v>12</v>
      </c>
      <c r="N84" s="4">
        <f t="shared" si="1"/>
        <v>13</v>
      </c>
      <c r="O84" s="4">
        <f t="shared" si="1"/>
        <v>14</v>
      </c>
      <c r="P84" s="4">
        <f t="shared" si="1"/>
        <v>15</v>
      </c>
      <c r="Q84" s="4">
        <f t="shared" si="1"/>
        <v>16</v>
      </c>
      <c r="R84" s="7">
        <f t="shared" si="1"/>
        <v>17</v>
      </c>
      <c r="S84" s="4">
        <f t="shared" si="1"/>
        <v>18</v>
      </c>
      <c r="T84" s="4">
        <f t="shared" si="1"/>
        <v>19</v>
      </c>
      <c r="U84" s="4">
        <f t="shared" si="1"/>
        <v>20</v>
      </c>
      <c r="V84" s="4">
        <f t="shared" si="1"/>
        <v>21</v>
      </c>
      <c r="W84" s="7">
        <f t="shared" si="1"/>
        <v>22</v>
      </c>
    </row>
    <row r="85" spans="1:23">
      <c r="A85" s="1"/>
      <c r="B85" s="1"/>
      <c r="C85" s="1"/>
      <c r="D85" s="1"/>
      <c r="E85" s="1"/>
      <c r="F85" s="1"/>
      <c r="G85" s="1"/>
      <c r="H85" s="6"/>
      <c r="I85" s="1"/>
      <c r="J85" s="1"/>
      <c r="K85" s="1"/>
      <c r="L85" s="1"/>
      <c r="M85" s="6"/>
      <c r="N85" s="1"/>
      <c r="O85" s="1"/>
      <c r="P85" s="1"/>
      <c r="Q85" s="1"/>
      <c r="R85" s="6"/>
      <c r="S85" s="1"/>
      <c r="T85" s="1"/>
      <c r="U85" s="1"/>
      <c r="V85" s="1"/>
      <c r="W85" s="6"/>
    </row>
    <row r="86" spans="1:23">
      <c r="A86" s="8" t="s">
        <v>12</v>
      </c>
      <c r="B86" s="27" t="s">
        <v>13</v>
      </c>
      <c r="C86" s="28"/>
      <c r="D86" s="13">
        <v>9587.4</v>
      </c>
      <c r="E86" s="13">
        <v>9947.92</v>
      </c>
      <c r="F86" s="13">
        <v>10312.040000000001</v>
      </c>
      <c r="G86" s="13">
        <v>10679.78</v>
      </c>
      <c r="H86" s="14">
        <v>40527.14</v>
      </c>
      <c r="I86" s="13">
        <v>9884.61</v>
      </c>
      <c r="J86" s="13">
        <v>10256.299999999999</v>
      </c>
      <c r="K86" s="13">
        <v>10631.7</v>
      </c>
      <c r="L86" s="13">
        <v>11010.83</v>
      </c>
      <c r="M86" s="14">
        <v>41783.440000000002</v>
      </c>
      <c r="N86" s="13">
        <v>10191.030000000001</v>
      </c>
      <c r="O86" s="13">
        <v>10574.25</v>
      </c>
      <c r="P86" s="13">
        <v>10961.27</v>
      </c>
      <c r="Q86" s="13">
        <v>11352.17</v>
      </c>
      <c r="R86" s="14">
        <v>43078.720000000001</v>
      </c>
      <c r="S86" s="13">
        <v>10506.96</v>
      </c>
      <c r="T86" s="13">
        <v>10902.03</v>
      </c>
      <c r="U86" s="13">
        <v>11301.09</v>
      </c>
      <c r="V86" s="13">
        <v>11704.1</v>
      </c>
      <c r="W86" s="14">
        <v>44414.18</v>
      </c>
    </row>
    <row r="87" spans="1:23">
      <c r="A87" s="9"/>
      <c r="B87" s="9" t="s">
        <v>14</v>
      </c>
      <c r="C87" s="9" t="s">
        <v>15</v>
      </c>
      <c r="D87" s="15">
        <v>8802.64</v>
      </c>
      <c r="E87" s="16">
        <v>9133.65</v>
      </c>
      <c r="F87" s="16">
        <v>9467.9699999999993</v>
      </c>
      <c r="G87" s="16">
        <v>9805.61</v>
      </c>
      <c r="H87" s="17">
        <v>37209.870000000003</v>
      </c>
      <c r="I87" s="16">
        <v>9075.5300000000007</v>
      </c>
      <c r="J87" s="16">
        <v>9416.7900000000009</v>
      </c>
      <c r="K87" s="16">
        <v>9761.4599999999991</v>
      </c>
      <c r="L87" s="16">
        <v>10109.56</v>
      </c>
      <c r="M87" s="17">
        <v>38363.339999999997</v>
      </c>
      <c r="N87" s="16">
        <v>9356.86</v>
      </c>
      <c r="O87" s="16">
        <v>9708.7099999999991</v>
      </c>
      <c r="P87" s="16">
        <v>10064.06</v>
      </c>
      <c r="Q87" s="16">
        <v>10422.959999999999</v>
      </c>
      <c r="R87" s="17">
        <v>39552.589999999997</v>
      </c>
      <c r="S87" s="16">
        <v>9646.93</v>
      </c>
      <c r="T87" s="16">
        <v>10009.67</v>
      </c>
      <c r="U87" s="16">
        <v>10376.06</v>
      </c>
      <c r="V87" s="16">
        <v>10746.08</v>
      </c>
      <c r="W87" s="17">
        <v>40778.74</v>
      </c>
    </row>
    <row r="88" spans="1:23">
      <c r="A88" s="9"/>
      <c r="B88" s="9"/>
      <c r="C88" s="9" t="s">
        <v>16</v>
      </c>
      <c r="D88" s="15">
        <v>1100.81</v>
      </c>
      <c r="E88" s="15">
        <v>1142.2</v>
      </c>
      <c r="F88" s="15">
        <v>1184.01</v>
      </c>
      <c r="G88" s="15">
        <v>1226.23</v>
      </c>
      <c r="H88" s="14">
        <v>4653.25</v>
      </c>
      <c r="I88" s="15">
        <v>1134.93</v>
      </c>
      <c r="J88" s="15">
        <v>1177.6099999999999</v>
      </c>
      <c r="K88" s="15">
        <v>1220.71</v>
      </c>
      <c r="L88" s="15">
        <v>1264.24</v>
      </c>
      <c r="M88" s="14">
        <v>4797.49</v>
      </c>
      <c r="N88" s="15">
        <v>1170.1099999999999</v>
      </c>
      <c r="O88" s="15">
        <v>1214.1099999999999</v>
      </c>
      <c r="P88" s="15">
        <v>1258.55</v>
      </c>
      <c r="Q88" s="15">
        <v>1303.43</v>
      </c>
      <c r="R88" s="14">
        <v>4946.2</v>
      </c>
      <c r="S88" s="15">
        <v>1206.3900000000001</v>
      </c>
      <c r="T88" s="15">
        <v>1251.75</v>
      </c>
      <c r="U88" s="15">
        <v>1297.57</v>
      </c>
      <c r="V88" s="15">
        <v>1343.84</v>
      </c>
      <c r="W88" s="14">
        <v>5099.55</v>
      </c>
    </row>
    <row r="89" spans="1:23">
      <c r="A89" s="9"/>
      <c r="B89" s="9"/>
      <c r="C89" s="9" t="s">
        <v>17</v>
      </c>
      <c r="D89" s="15">
        <v>1195.32</v>
      </c>
      <c r="E89" s="15">
        <v>1240.27</v>
      </c>
      <c r="F89" s="15">
        <v>1285.67</v>
      </c>
      <c r="G89" s="15">
        <v>1331.52</v>
      </c>
      <c r="H89" s="14">
        <v>5052.78</v>
      </c>
      <c r="I89" s="15">
        <v>1232.3800000000001</v>
      </c>
      <c r="J89" s="15">
        <v>1278.72</v>
      </c>
      <c r="K89" s="15">
        <v>1325.52</v>
      </c>
      <c r="L89" s="15">
        <v>1372.79</v>
      </c>
      <c r="M89" s="14">
        <v>5209.41</v>
      </c>
      <c r="N89" s="15">
        <v>1270.58</v>
      </c>
      <c r="O89" s="15">
        <v>1318.36</v>
      </c>
      <c r="P89" s="15">
        <v>1366.61</v>
      </c>
      <c r="Q89" s="15">
        <v>1415.35</v>
      </c>
      <c r="R89" s="14">
        <v>5370.9</v>
      </c>
      <c r="S89" s="15">
        <v>1309.97</v>
      </c>
      <c r="T89" s="15">
        <v>1359.23</v>
      </c>
      <c r="U89" s="15">
        <v>1408.98</v>
      </c>
      <c r="V89" s="15">
        <v>1459.23</v>
      </c>
      <c r="W89" s="14">
        <v>5537.41</v>
      </c>
    </row>
    <row r="90" spans="1:23">
      <c r="A90" s="9"/>
      <c r="B90" s="9"/>
      <c r="C90" s="9" t="s">
        <v>18</v>
      </c>
      <c r="D90" s="15">
        <v>1201.92</v>
      </c>
      <c r="E90" s="15">
        <v>1247.1199999999999</v>
      </c>
      <c r="F90" s="15">
        <v>1292.77</v>
      </c>
      <c r="G90" s="15">
        <v>1338.87</v>
      </c>
      <c r="H90" s="14">
        <v>5080.68</v>
      </c>
      <c r="I90" s="15">
        <v>1239.18</v>
      </c>
      <c r="J90" s="15">
        <v>1285.78</v>
      </c>
      <c r="K90" s="15">
        <v>1332.84</v>
      </c>
      <c r="L90" s="15">
        <v>1380.37</v>
      </c>
      <c r="M90" s="14">
        <v>5238.17</v>
      </c>
      <c r="N90" s="15">
        <v>1277.5999999999999</v>
      </c>
      <c r="O90" s="15">
        <v>1325.64</v>
      </c>
      <c r="P90" s="15">
        <v>1374.16</v>
      </c>
      <c r="Q90" s="15">
        <v>1423.17</v>
      </c>
      <c r="R90" s="14">
        <v>5400.57</v>
      </c>
      <c r="S90" s="15">
        <v>1317.2</v>
      </c>
      <c r="T90" s="15">
        <v>1366.73</v>
      </c>
      <c r="U90" s="15">
        <v>1416.76</v>
      </c>
      <c r="V90" s="15">
        <v>1467.28</v>
      </c>
      <c r="W90" s="14">
        <v>5567.97</v>
      </c>
    </row>
    <row r="91" spans="1:23">
      <c r="A91" s="9"/>
      <c r="B91" s="9"/>
      <c r="C91" s="9" t="s">
        <v>19</v>
      </c>
      <c r="D91" s="15">
        <v>1182.96</v>
      </c>
      <c r="E91" s="15">
        <v>1227.45</v>
      </c>
      <c r="F91" s="15">
        <v>1272.3699999999999</v>
      </c>
      <c r="G91" s="15">
        <v>1317.75</v>
      </c>
      <c r="H91" s="14">
        <v>5000.53</v>
      </c>
      <c r="I91" s="15">
        <v>1219.6400000000001</v>
      </c>
      <c r="J91" s="15">
        <v>1265.5</v>
      </c>
      <c r="K91" s="15">
        <v>1311.82</v>
      </c>
      <c r="L91" s="15">
        <v>1358.6</v>
      </c>
      <c r="M91" s="14">
        <v>5155.5600000000004</v>
      </c>
      <c r="N91" s="15">
        <v>1257.44</v>
      </c>
      <c r="O91" s="15">
        <v>1304.73</v>
      </c>
      <c r="P91" s="15">
        <v>1352.48</v>
      </c>
      <c r="Q91" s="15">
        <v>1400.71</v>
      </c>
      <c r="R91" s="14">
        <v>5315.36</v>
      </c>
      <c r="S91" s="15">
        <v>1296.43</v>
      </c>
      <c r="T91" s="15">
        <v>1345.17</v>
      </c>
      <c r="U91" s="15">
        <v>1394.41</v>
      </c>
      <c r="V91" s="15">
        <v>1444.14</v>
      </c>
      <c r="W91" s="14">
        <v>5480.15</v>
      </c>
    </row>
    <row r="92" spans="1:23">
      <c r="A92" s="9"/>
      <c r="B92" s="9"/>
      <c r="C92" s="9" t="s">
        <v>20</v>
      </c>
      <c r="D92" s="15">
        <v>1276.94</v>
      </c>
      <c r="E92" s="15">
        <v>1324.95</v>
      </c>
      <c r="F92" s="15">
        <v>1373.45</v>
      </c>
      <c r="G92" s="15">
        <v>1422.43</v>
      </c>
      <c r="H92" s="14">
        <v>5397.77</v>
      </c>
      <c r="I92" s="15">
        <v>1316.52</v>
      </c>
      <c r="J92" s="15">
        <v>1366.02</v>
      </c>
      <c r="K92" s="15">
        <v>1416.02</v>
      </c>
      <c r="L92" s="15">
        <v>1466.52</v>
      </c>
      <c r="M92" s="14">
        <v>5565.08</v>
      </c>
      <c r="N92" s="15">
        <v>1357.33</v>
      </c>
      <c r="O92" s="15">
        <v>1408.37</v>
      </c>
      <c r="P92" s="15">
        <v>1459.92</v>
      </c>
      <c r="Q92" s="15">
        <v>1511.98</v>
      </c>
      <c r="R92" s="14">
        <v>5737.6</v>
      </c>
      <c r="S92" s="15">
        <v>1399.41</v>
      </c>
      <c r="T92" s="15">
        <v>1452.03</v>
      </c>
      <c r="U92" s="15">
        <v>1505.18</v>
      </c>
      <c r="V92" s="15">
        <v>1558.85</v>
      </c>
      <c r="W92" s="14">
        <v>5915.47</v>
      </c>
    </row>
    <row r="93" spans="1:23">
      <c r="A93" s="9"/>
      <c r="B93" s="9"/>
      <c r="C93" s="9" t="s">
        <v>21</v>
      </c>
      <c r="D93" s="15">
        <v>1373.13</v>
      </c>
      <c r="E93" s="15">
        <v>1424.77</v>
      </c>
      <c r="F93" s="15">
        <v>1476.92</v>
      </c>
      <c r="G93" s="15">
        <v>1529.58</v>
      </c>
      <c r="H93" s="14">
        <v>5804.4</v>
      </c>
      <c r="I93" s="15">
        <v>1415.7</v>
      </c>
      <c r="J93" s="15">
        <v>1468.93</v>
      </c>
      <c r="K93" s="15">
        <v>1522.7</v>
      </c>
      <c r="L93" s="15">
        <v>1577</v>
      </c>
      <c r="M93" s="14">
        <v>5984.33</v>
      </c>
      <c r="N93" s="15">
        <v>1459.59</v>
      </c>
      <c r="O93" s="15">
        <v>1514.47</v>
      </c>
      <c r="P93" s="15">
        <v>1569.9</v>
      </c>
      <c r="Q93" s="15">
        <v>1625.89</v>
      </c>
      <c r="R93" s="14">
        <v>6169.85</v>
      </c>
      <c r="S93" s="15">
        <v>1504.83</v>
      </c>
      <c r="T93" s="15">
        <v>1561.42</v>
      </c>
      <c r="U93" s="15">
        <v>1618.57</v>
      </c>
      <c r="V93" s="15">
        <v>1676.29</v>
      </c>
      <c r="W93" s="14">
        <v>6361.11</v>
      </c>
    </row>
    <row r="94" spans="1:23">
      <c r="A94" s="9"/>
      <c r="B94" s="9"/>
      <c r="C94" s="9" t="s">
        <v>22</v>
      </c>
      <c r="D94" s="15">
        <v>1471.56</v>
      </c>
      <c r="E94" s="15">
        <v>1526.89</v>
      </c>
      <c r="F94" s="15">
        <v>1582.78</v>
      </c>
      <c r="G94" s="15">
        <v>1639.23</v>
      </c>
      <c r="H94" s="14">
        <v>6220.46</v>
      </c>
      <c r="I94" s="15">
        <v>1517.18</v>
      </c>
      <c r="J94" s="15">
        <v>1574.23</v>
      </c>
      <c r="K94" s="15">
        <v>1631.85</v>
      </c>
      <c r="L94" s="15">
        <v>1690.04</v>
      </c>
      <c r="M94" s="14">
        <v>6413.3</v>
      </c>
      <c r="N94" s="15">
        <v>1564.21</v>
      </c>
      <c r="O94" s="15">
        <v>1623.03</v>
      </c>
      <c r="P94" s="15">
        <v>1682.44</v>
      </c>
      <c r="Q94" s="15">
        <v>1742.43</v>
      </c>
      <c r="R94" s="14">
        <v>6612.11</v>
      </c>
      <c r="S94" s="15">
        <v>1612.7</v>
      </c>
      <c r="T94" s="15">
        <v>1673.34</v>
      </c>
      <c r="U94" s="15">
        <v>1734.59</v>
      </c>
      <c r="V94" s="15">
        <v>1796.45</v>
      </c>
      <c r="W94" s="14">
        <v>6817.08</v>
      </c>
    </row>
    <row r="95" spans="1:23">
      <c r="A95" s="9"/>
      <c r="B95" s="9" t="s">
        <v>23</v>
      </c>
      <c r="C95" s="9" t="s">
        <v>24</v>
      </c>
      <c r="D95" s="15">
        <v>352.05</v>
      </c>
      <c r="E95" s="15">
        <v>365.29</v>
      </c>
      <c r="F95" s="15">
        <v>378.66</v>
      </c>
      <c r="G95" s="15">
        <v>392.16</v>
      </c>
      <c r="H95" s="14">
        <v>1488.16</v>
      </c>
      <c r="I95" s="15">
        <v>362.96</v>
      </c>
      <c r="J95" s="15">
        <v>376.61</v>
      </c>
      <c r="K95" s="15">
        <v>390.4</v>
      </c>
      <c r="L95" s="15">
        <v>404.32</v>
      </c>
      <c r="M95" s="14">
        <v>1534.29</v>
      </c>
      <c r="N95" s="15">
        <v>374.22</v>
      </c>
      <c r="O95" s="15">
        <v>388.29</v>
      </c>
      <c r="P95" s="15">
        <v>402.5</v>
      </c>
      <c r="Q95" s="15">
        <v>416.85</v>
      </c>
      <c r="R95" s="14">
        <v>1581.86</v>
      </c>
      <c r="S95" s="15">
        <v>385.82</v>
      </c>
      <c r="T95" s="15">
        <v>400.32</v>
      </c>
      <c r="U95" s="15">
        <v>414.98</v>
      </c>
      <c r="V95" s="15">
        <v>429.78</v>
      </c>
      <c r="W95" s="14">
        <v>1630.9</v>
      </c>
    </row>
    <row r="96" spans="1:23">
      <c r="A96" s="9"/>
      <c r="B96" s="9" t="s">
        <v>25</v>
      </c>
      <c r="C96" s="9" t="s">
        <v>26</v>
      </c>
      <c r="D96" s="15">
        <v>432.71</v>
      </c>
      <c r="E96" s="18">
        <v>448.98</v>
      </c>
      <c r="F96" s="18">
        <v>465.41</v>
      </c>
      <c r="G96" s="18">
        <v>482.01</v>
      </c>
      <c r="H96" s="19">
        <v>1829.11</v>
      </c>
      <c r="I96" s="18">
        <v>446.12</v>
      </c>
      <c r="J96" s="18">
        <v>462.9</v>
      </c>
      <c r="K96" s="18">
        <v>479.84</v>
      </c>
      <c r="L96" s="18">
        <v>496.95</v>
      </c>
      <c r="M96" s="19">
        <v>1885.81</v>
      </c>
      <c r="N96" s="18">
        <v>459.95</v>
      </c>
      <c r="O96" s="18">
        <v>477.25</v>
      </c>
      <c r="P96" s="18">
        <v>494.71</v>
      </c>
      <c r="Q96" s="18">
        <v>512.36</v>
      </c>
      <c r="R96" s="19">
        <v>1944.27</v>
      </c>
      <c r="S96" s="18">
        <v>474.21</v>
      </c>
      <c r="T96" s="18">
        <v>492.04</v>
      </c>
      <c r="U96" s="18">
        <v>510.05</v>
      </c>
      <c r="V96" s="18">
        <v>528.24</v>
      </c>
      <c r="W96" s="19">
        <v>2004.54</v>
      </c>
    </row>
    <row r="97" spans="1:23">
      <c r="A97" s="8" t="s">
        <v>27</v>
      </c>
      <c r="B97" s="27" t="s">
        <v>28</v>
      </c>
      <c r="C97" s="28"/>
      <c r="D97" s="13">
        <v>2365.58</v>
      </c>
      <c r="E97" s="13">
        <v>2454.52</v>
      </c>
      <c r="F97" s="13">
        <v>2544.37</v>
      </c>
      <c r="G97" s="13">
        <v>2635.11</v>
      </c>
      <c r="H97" s="14">
        <v>9999.58</v>
      </c>
      <c r="I97" s="13">
        <v>2438.91</v>
      </c>
      <c r="J97" s="13">
        <v>2530.61</v>
      </c>
      <c r="K97" s="13">
        <v>2623.25</v>
      </c>
      <c r="L97" s="13">
        <v>2716.79</v>
      </c>
      <c r="M97" s="14">
        <v>10309.56</v>
      </c>
      <c r="N97" s="13">
        <v>2514.5100000000002</v>
      </c>
      <c r="O97" s="13">
        <v>2609.0700000000002</v>
      </c>
      <c r="P97" s="13">
        <v>2704.58</v>
      </c>
      <c r="Q97" s="13">
        <v>2801</v>
      </c>
      <c r="R97" s="14">
        <v>10629.16</v>
      </c>
      <c r="S97" s="13">
        <v>2592.4699999999998</v>
      </c>
      <c r="T97" s="13">
        <v>2689.95</v>
      </c>
      <c r="U97" s="13">
        <v>2788.41</v>
      </c>
      <c r="V97" s="13">
        <v>2887.85</v>
      </c>
      <c r="W97" s="14">
        <v>10958.68</v>
      </c>
    </row>
    <row r="98" spans="1:23">
      <c r="A98" s="9"/>
      <c r="B98" s="9" t="s">
        <v>14</v>
      </c>
      <c r="C98" s="9" t="s">
        <v>29</v>
      </c>
      <c r="D98" s="15">
        <v>485.02</v>
      </c>
      <c r="E98" s="16">
        <v>503.25</v>
      </c>
      <c r="F98" s="16">
        <v>521.66999999999996</v>
      </c>
      <c r="G98" s="16">
        <v>540.28</v>
      </c>
      <c r="H98" s="17">
        <v>2050.2199999999998</v>
      </c>
      <c r="I98" s="16">
        <v>500.05</v>
      </c>
      <c r="J98" s="16">
        <v>518.85</v>
      </c>
      <c r="K98" s="16">
        <v>537.85</v>
      </c>
      <c r="L98" s="16">
        <v>557.03</v>
      </c>
      <c r="M98" s="17">
        <v>2113.7800000000002</v>
      </c>
      <c r="N98" s="16">
        <v>515.54999999999995</v>
      </c>
      <c r="O98" s="16">
        <v>534.94000000000005</v>
      </c>
      <c r="P98" s="16">
        <v>554.52</v>
      </c>
      <c r="Q98" s="16">
        <v>574.29</v>
      </c>
      <c r="R98" s="17">
        <v>2179.3000000000002</v>
      </c>
      <c r="S98" s="16">
        <v>531.54</v>
      </c>
      <c r="T98" s="16">
        <v>551.52</v>
      </c>
      <c r="U98" s="16">
        <v>571.71</v>
      </c>
      <c r="V98" s="16">
        <v>592.1</v>
      </c>
      <c r="W98" s="17">
        <v>2246.87</v>
      </c>
    </row>
    <row r="99" spans="1:23">
      <c r="A99" s="9"/>
      <c r="B99" s="9" t="s">
        <v>23</v>
      </c>
      <c r="C99" s="9" t="s">
        <v>30</v>
      </c>
      <c r="D99" s="15">
        <v>570.69000000000005</v>
      </c>
      <c r="E99" s="15">
        <v>592.15</v>
      </c>
      <c r="F99" s="15">
        <v>613.83000000000004</v>
      </c>
      <c r="G99" s="15">
        <v>635.72</v>
      </c>
      <c r="H99" s="14">
        <v>2412.39</v>
      </c>
      <c r="I99" s="15">
        <v>588.39</v>
      </c>
      <c r="J99" s="15">
        <v>610.51</v>
      </c>
      <c r="K99" s="15">
        <v>632.86</v>
      </c>
      <c r="L99" s="15">
        <v>655.42</v>
      </c>
      <c r="M99" s="14">
        <v>2487.1799999999998</v>
      </c>
      <c r="N99" s="15">
        <v>606.63</v>
      </c>
      <c r="O99" s="15">
        <v>629.44000000000005</v>
      </c>
      <c r="P99" s="15">
        <v>652.48</v>
      </c>
      <c r="Q99" s="15">
        <v>675.74</v>
      </c>
      <c r="R99" s="14">
        <v>2564.29</v>
      </c>
      <c r="S99" s="15">
        <v>625.42999999999995</v>
      </c>
      <c r="T99" s="15">
        <v>648.95000000000005</v>
      </c>
      <c r="U99" s="15">
        <v>672.7</v>
      </c>
      <c r="V99" s="15">
        <v>696.69</v>
      </c>
      <c r="W99" s="14">
        <v>2643.77</v>
      </c>
    </row>
    <row r="100" spans="1:23">
      <c r="A100" s="9"/>
      <c r="B100" s="9" t="s">
        <v>25</v>
      </c>
      <c r="C100" s="9" t="s">
        <v>31</v>
      </c>
      <c r="D100" s="15">
        <v>612.65</v>
      </c>
      <c r="E100" s="15">
        <v>635.69000000000005</v>
      </c>
      <c r="F100" s="15">
        <v>658.96</v>
      </c>
      <c r="G100" s="15">
        <v>682.46</v>
      </c>
      <c r="H100" s="14">
        <v>2589.7600000000002</v>
      </c>
      <c r="I100" s="15">
        <v>631.64</v>
      </c>
      <c r="J100" s="15">
        <v>655.39</v>
      </c>
      <c r="K100" s="15">
        <v>679.38</v>
      </c>
      <c r="L100" s="15">
        <v>703.61</v>
      </c>
      <c r="M100" s="14">
        <v>2670.02</v>
      </c>
      <c r="N100" s="15">
        <v>651.22</v>
      </c>
      <c r="O100" s="15">
        <v>675.71</v>
      </c>
      <c r="P100" s="15">
        <v>700.45</v>
      </c>
      <c r="Q100" s="15">
        <v>725.42</v>
      </c>
      <c r="R100" s="14">
        <v>2752.8</v>
      </c>
      <c r="S100" s="15">
        <v>671.41</v>
      </c>
      <c r="T100" s="15">
        <v>696.66</v>
      </c>
      <c r="U100" s="15">
        <v>722.16</v>
      </c>
      <c r="V100" s="15">
        <v>747.91</v>
      </c>
      <c r="W100" s="14">
        <v>2838.14</v>
      </c>
    </row>
    <row r="101" spans="1:23">
      <c r="A101" s="9"/>
      <c r="B101" s="9" t="s">
        <v>32</v>
      </c>
      <c r="C101" s="9" t="s">
        <v>33</v>
      </c>
      <c r="D101" s="15">
        <v>697.22</v>
      </c>
      <c r="E101" s="18">
        <v>723.43</v>
      </c>
      <c r="F101" s="18">
        <v>749.91</v>
      </c>
      <c r="G101" s="18">
        <v>776.65</v>
      </c>
      <c r="H101" s="19">
        <v>2947.21</v>
      </c>
      <c r="I101" s="18">
        <v>718.83</v>
      </c>
      <c r="J101" s="18">
        <v>745.86</v>
      </c>
      <c r="K101" s="18">
        <v>773.16</v>
      </c>
      <c r="L101" s="18">
        <v>800.73</v>
      </c>
      <c r="M101" s="19">
        <v>3038.58</v>
      </c>
      <c r="N101" s="18">
        <v>741.11</v>
      </c>
      <c r="O101" s="18">
        <v>768.98</v>
      </c>
      <c r="P101" s="18">
        <v>797.13</v>
      </c>
      <c r="Q101" s="18">
        <v>825.55</v>
      </c>
      <c r="R101" s="19">
        <v>3132.77</v>
      </c>
      <c r="S101" s="18">
        <v>764.09</v>
      </c>
      <c r="T101" s="18">
        <v>792.82</v>
      </c>
      <c r="U101" s="18">
        <v>821.84</v>
      </c>
      <c r="V101" s="18">
        <v>851.15</v>
      </c>
      <c r="W101" s="19">
        <v>3229.9</v>
      </c>
    </row>
    <row r="102" spans="1:23">
      <c r="A102" s="8" t="s">
        <v>34</v>
      </c>
      <c r="B102" s="27" t="s">
        <v>35</v>
      </c>
      <c r="C102" s="28"/>
      <c r="D102" s="13">
        <v>15245.47</v>
      </c>
      <c r="E102" s="13">
        <v>15818.71</v>
      </c>
      <c r="F102" s="13">
        <v>16397.71</v>
      </c>
      <c r="G102" s="13">
        <v>16982.490000000002</v>
      </c>
      <c r="H102" s="14">
        <v>64444.38</v>
      </c>
      <c r="I102" s="13">
        <v>15718.07</v>
      </c>
      <c r="J102" s="13">
        <v>16309.1</v>
      </c>
      <c r="K102" s="13">
        <v>16906.03</v>
      </c>
      <c r="L102" s="13">
        <v>17508.93</v>
      </c>
      <c r="M102" s="14">
        <v>66442.13</v>
      </c>
      <c r="N102" s="13">
        <v>16205.34</v>
      </c>
      <c r="O102" s="13">
        <v>16814.7</v>
      </c>
      <c r="P102" s="13">
        <v>17430.16</v>
      </c>
      <c r="Q102" s="13">
        <v>18051.71</v>
      </c>
      <c r="R102" s="14">
        <v>68501.91</v>
      </c>
      <c r="S102" s="13">
        <v>16707.68</v>
      </c>
      <c r="T102" s="13">
        <v>17335.93</v>
      </c>
      <c r="U102" s="13">
        <v>17970.48</v>
      </c>
      <c r="V102" s="13">
        <v>18611.330000000002</v>
      </c>
      <c r="W102" s="14">
        <v>70625.42</v>
      </c>
    </row>
    <row r="103" spans="1:23">
      <c r="A103" s="9"/>
      <c r="B103" s="9" t="s">
        <v>14</v>
      </c>
      <c r="C103" s="9" t="s">
        <v>36</v>
      </c>
      <c r="D103" s="15">
        <v>1837.53</v>
      </c>
      <c r="E103" s="16">
        <v>1906.63</v>
      </c>
      <c r="F103" s="16">
        <v>1976.41</v>
      </c>
      <c r="G103" s="16">
        <v>2046.89</v>
      </c>
      <c r="H103" s="17">
        <v>7767.46</v>
      </c>
      <c r="I103" s="16">
        <v>1894.49</v>
      </c>
      <c r="J103" s="16">
        <v>1965.73</v>
      </c>
      <c r="K103" s="16">
        <v>2037.68</v>
      </c>
      <c r="L103" s="16">
        <v>2110.34</v>
      </c>
      <c r="M103" s="17">
        <v>8008.24</v>
      </c>
      <c r="N103" s="16">
        <v>1953.22</v>
      </c>
      <c r="O103" s="16">
        <v>2026.67</v>
      </c>
      <c r="P103" s="16">
        <v>2100.85</v>
      </c>
      <c r="Q103" s="16">
        <v>2175.7600000000002</v>
      </c>
      <c r="R103" s="17">
        <v>8256.5</v>
      </c>
      <c r="S103" s="16">
        <v>2013.77</v>
      </c>
      <c r="T103" s="16">
        <v>2089.4899999999998</v>
      </c>
      <c r="U103" s="16">
        <v>2165.9699999999998</v>
      </c>
      <c r="V103" s="16">
        <v>2243.2199999999998</v>
      </c>
      <c r="W103" s="17">
        <v>8512.4500000000007</v>
      </c>
    </row>
    <row r="104" spans="1:23">
      <c r="A104" s="9"/>
      <c r="B104" s="9"/>
      <c r="C104" s="9" t="s">
        <v>37</v>
      </c>
      <c r="D104" s="15">
        <v>964.28</v>
      </c>
      <c r="E104" s="15">
        <v>1000.54</v>
      </c>
      <c r="F104" s="15">
        <v>1037.1600000000001</v>
      </c>
      <c r="G104" s="15">
        <v>1074.1400000000001</v>
      </c>
      <c r="H104" s="14">
        <v>4076.12</v>
      </c>
      <c r="I104" s="15">
        <v>994.17</v>
      </c>
      <c r="J104" s="15">
        <v>1031.55</v>
      </c>
      <c r="K104" s="15">
        <v>1069.31</v>
      </c>
      <c r="L104" s="15">
        <v>1107.44</v>
      </c>
      <c r="M104" s="14">
        <v>4202.47</v>
      </c>
      <c r="N104" s="15">
        <v>1024.99</v>
      </c>
      <c r="O104" s="15">
        <v>1063.53</v>
      </c>
      <c r="P104" s="15">
        <v>1102.46</v>
      </c>
      <c r="Q104" s="15">
        <v>1141.77</v>
      </c>
      <c r="R104" s="14">
        <v>4332.75</v>
      </c>
      <c r="S104" s="15">
        <v>1056.76</v>
      </c>
      <c r="T104" s="15">
        <v>1096.5</v>
      </c>
      <c r="U104" s="15">
        <v>1136.6300000000001</v>
      </c>
      <c r="V104" s="15">
        <v>1177.17</v>
      </c>
      <c r="W104" s="14">
        <v>4467.0600000000004</v>
      </c>
    </row>
    <row r="105" spans="1:23">
      <c r="A105" s="9"/>
      <c r="B105" s="9"/>
      <c r="C105" s="9" t="s">
        <v>38</v>
      </c>
      <c r="D105" s="15">
        <v>873.25</v>
      </c>
      <c r="E105" s="15">
        <v>906.09</v>
      </c>
      <c r="F105" s="15">
        <v>939.25</v>
      </c>
      <c r="G105" s="15">
        <v>972.75</v>
      </c>
      <c r="H105" s="14">
        <v>3691.34</v>
      </c>
      <c r="I105" s="15">
        <v>900.32</v>
      </c>
      <c r="J105" s="15">
        <v>934.18</v>
      </c>
      <c r="K105" s="15">
        <v>968.37</v>
      </c>
      <c r="L105" s="15">
        <v>1002.9</v>
      </c>
      <c r="M105" s="14">
        <v>3805.77</v>
      </c>
      <c r="N105" s="15">
        <v>928.23</v>
      </c>
      <c r="O105" s="15">
        <v>963.14</v>
      </c>
      <c r="P105" s="15">
        <v>998.39</v>
      </c>
      <c r="Q105" s="15">
        <v>1033.99</v>
      </c>
      <c r="R105" s="14">
        <v>3923.75</v>
      </c>
      <c r="S105" s="15">
        <v>957.01</v>
      </c>
      <c r="T105" s="15">
        <v>992.99</v>
      </c>
      <c r="U105" s="15">
        <v>1029.3399999999999</v>
      </c>
      <c r="V105" s="15">
        <v>1066.05</v>
      </c>
      <c r="W105" s="14">
        <v>4045.39</v>
      </c>
    </row>
    <row r="106" spans="1:23">
      <c r="A106" s="9"/>
      <c r="B106" s="9" t="s">
        <v>23</v>
      </c>
      <c r="C106" s="9" t="s">
        <v>39</v>
      </c>
      <c r="D106" s="15">
        <v>961.73</v>
      </c>
      <c r="E106" s="15">
        <v>997.89</v>
      </c>
      <c r="F106" s="15">
        <v>1034.4100000000001</v>
      </c>
      <c r="G106" s="15">
        <v>1071.3</v>
      </c>
      <c r="H106" s="14">
        <v>4065.33</v>
      </c>
      <c r="I106" s="15">
        <v>991.54</v>
      </c>
      <c r="J106" s="15">
        <v>1028.82</v>
      </c>
      <c r="K106" s="15">
        <v>1066.48</v>
      </c>
      <c r="L106" s="15">
        <v>1104.51</v>
      </c>
      <c r="M106" s="14">
        <v>4191.3500000000004</v>
      </c>
      <c r="N106" s="15">
        <v>1022.28</v>
      </c>
      <c r="O106" s="15">
        <v>1060.72</v>
      </c>
      <c r="P106" s="15">
        <v>1099.54</v>
      </c>
      <c r="Q106" s="15">
        <v>1138.75</v>
      </c>
      <c r="R106" s="14">
        <v>4321.29</v>
      </c>
      <c r="S106" s="15">
        <v>1053.97</v>
      </c>
      <c r="T106" s="15">
        <v>1093.5999999999999</v>
      </c>
      <c r="U106" s="15">
        <v>1133.6300000000001</v>
      </c>
      <c r="V106" s="15">
        <v>1174.05</v>
      </c>
      <c r="W106" s="14">
        <v>4455.25</v>
      </c>
    </row>
    <row r="107" spans="1:23">
      <c r="A107" s="9"/>
      <c r="B107" s="9" t="s">
        <v>25</v>
      </c>
      <c r="C107" s="9" t="s">
        <v>40</v>
      </c>
      <c r="D107" s="15">
        <v>1052.43</v>
      </c>
      <c r="E107" s="15">
        <v>1092</v>
      </c>
      <c r="F107" s="15">
        <v>1131.97</v>
      </c>
      <c r="G107" s="15">
        <v>1172.3399999999999</v>
      </c>
      <c r="H107" s="14">
        <v>4448.74</v>
      </c>
      <c r="I107" s="15">
        <v>1085.05</v>
      </c>
      <c r="J107" s="15">
        <v>1125.8499999999999</v>
      </c>
      <c r="K107" s="15">
        <v>1167.06</v>
      </c>
      <c r="L107" s="15">
        <v>1208.68</v>
      </c>
      <c r="M107" s="14">
        <v>4586.6400000000003</v>
      </c>
      <c r="N107" s="15">
        <v>1118.69</v>
      </c>
      <c r="O107" s="15">
        <v>1160.75</v>
      </c>
      <c r="P107" s="15">
        <v>1203.24</v>
      </c>
      <c r="Q107" s="15">
        <v>1246.1500000000001</v>
      </c>
      <c r="R107" s="14">
        <v>4728.83</v>
      </c>
      <c r="S107" s="15">
        <v>1153.3699999999999</v>
      </c>
      <c r="T107" s="15">
        <v>1196.74</v>
      </c>
      <c r="U107" s="15">
        <v>1240.54</v>
      </c>
      <c r="V107" s="15">
        <v>1284.78</v>
      </c>
      <c r="W107" s="14">
        <v>4875.43</v>
      </c>
    </row>
    <row r="108" spans="1:23">
      <c r="A108" s="9"/>
      <c r="B108" s="9" t="s">
        <v>32</v>
      </c>
      <c r="C108" s="9" t="s">
        <v>41</v>
      </c>
      <c r="D108" s="15">
        <v>1145.3599999999999</v>
      </c>
      <c r="E108" s="15">
        <v>1188.42</v>
      </c>
      <c r="F108" s="15">
        <v>1231.92</v>
      </c>
      <c r="G108" s="15">
        <v>1275.8499999999999</v>
      </c>
      <c r="H108" s="14">
        <v>4841.55</v>
      </c>
      <c r="I108" s="15">
        <v>1180.8599999999999</v>
      </c>
      <c r="J108" s="15">
        <v>1225.26</v>
      </c>
      <c r="K108" s="15">
        <v>1270.1099999999999</v>
      </c>
      <c r="L108" s="15">
        <v>1315.41</v>
      </c>
      <c r="M108" s="14">
        <v>4991.6400000000003</v>
      </c>
      <c r="N108" s="15">
        <v>1217.47</v>
      </c>
      <c r="O108" s="15">
        <v>1263.25</v>
      </c>
      <c r="P108" s="15">
        <v>1309.49</v>
      </c>
      <c r="Q108" s="15">
        <v>1356.18</v>
      </c>
      <c r="R108" s="14">
        <v>5146.3900000000003</v>
      </c>
      <c r="S108" s="15">
        <v>1255.21</v>
      </c>
      <c r="T108" s="15">
        <v>1302.4100000000001</v>
      </c>
      <c r="U108" s="15">
        <v>1350.08</v>
      </c>
      <c r="V108" s="15">
        <v>1398.23</v>
      </c>
      <c r="W108" s="14">
        <v>5305.93</v>
      </c>
    </row>
    <row r="109" spans="1:23">
      <c r="A109" s="9"/>
      <c r="B109" s="9" t="s">
        <v>42</v>
      </c>
      <c r="C109" s="9" t="s">
        <v>43</v>
      </c>
      <c r="D109" s="15">
        <v>1240.51</v>
      </c>
      <c r="E109" s="15">
        <v>1287.1600000000001</v>
      </c>
      <c r="F109" s="15">
        <v>1334.27</v>
      </c>
      <c r="G109" s="15">
        <v>1381.85</v>
      </c>
      <c r="H109" s="14">
        <v>5243.79</v>
      </c>
      <c r="I109" s="15">
        <v>1278.97</v>
      </c>
      <c r="J109" s="15">
        <v>1327.06</v>
      </c>
      <c r="K109" s="15">
        <v>1375.63</v>
      </c>
      <c r="L109" s="15">
        <v>1424.69</v>
      </c>
      <c r="M109" s="14">
        <v>5406.35</v>
      </c>
      <c r="N109" s="15">
        <v>1318.62</v>
      </c>
      <c r="O109" s="15">
        <v>1368.2</v>
      </c>
      <c r="P109" s="15">
        <v>1418.28</v>
      </c>
      <c r="Q109" s="15">
        <v>1468.86</v>
      </c>
      <c r="R109" s="14">
        <v>5573.96</v>
      </c>
      <c r="S109" s="15">
        <v>1359.49</v>
      </c>
      <c r="T109" s="15">
        <v>1410.61</v>
      </c>
      <c r="U109" s="15">
        <v>1462.25</v>
      </c>
      <c r="V109" s="15">
        <v>1514.39</v>
      </c>
      <c r="W109" s="14">
        <v>5746.74</v>
      </c>
    </row>
    <row r="110" spans="1:23">
      <c r="A110" s="9"/>
      <c r="B110" s="9" t="s">
        <v>44</v>
      </c>
      <c r="C110" s="9" t="s">
        <v>45</v>
      </c>
      <c r="D110" s="15">
        <v>1244.56</v>
      </c>
      <c r="E110" s="15">
        <v>1291.3499999999999</v>
      </c>
      <c r="F110" s="15">
        <v>1338.62</v>
      </c>
      <c r="G110" s="15">
        <v>1386.36</v>
      </c>
      <c r="H110" s="14">
        <v>5260.89</v>
      </c>
      <c r="I110" s="15">
        <v>1283.1400000000001</v>
      </c>
      <c r="J110" s="15">
        <v>1331.39</v>
      </c>
      <c r="K110" s="15">
        <v>1380.12</v>
      </c>
      <c r="L110" s="15">
        <v>1429.33</v>
      </c>
      <c r="M110" s="14">
        <v>5423.98</v>
      </c>
      <c r="N110" s="15">
        <v>1322.91</v>
      </c>
      <c r="O110" s="15">
        <v>1372.66</v>
      </c>
      <c r="P110" s="15">
        <v>1422.9</v>
      </c>
      <c r="Q110" s="15">
        <v>1473.64</v>
      </c>
      <c r="R110" s="14">
        <v>5592.11</v>
      </c>
      <c r="S110" s="15">
        <v>1363.92</v>
      </c>
      <c r="T110" s="15">
        <v>1415.21</v>
      </c>
      <c r="U110" s="15">
        <v>1467.01</v>
      </c>
      <c r="V110" s="15">
        <v>1519.33</v>
      </c>
      <c r="W110" s="14">
        <v>5765.47</v>
      </c>
    </row>
    <row r="111" spans="1:23">
      <c r="A111" s="9"/>
      <c r="B111" s="9" t="s">
        <v>46</v>
      </c>
      <c r="C111" s="9" t="s">
        <v>47</v>
      </c>
      <c r="D111" s="15">
        <v>1338.6</v>
      </c>
      <c r="E111" s="15">
        <v>1388.93</v>
      </c>
      <c r="F111" s="15">
        <v>1439.77</v>
      </c>
      <c r="G111" s="15">
        <v>1491.12</v>
      </c>
      <c r="H111" s="14">
        <v>5658.42</v>
      </c>
      <c r="I111" s="15">
        <v>1380.1</v>
      </c>
      <c r="J111" s="15">
        <v>1431.99</v>
      </c>
      <c r="K111" s="15">
        <v>1484.4</v>
      </c>
      <c r="L111" s="15">
        <v>1537.34</v>
      </c>
      <c r="M111" s="14">
        <v>5833.83</v>
      </c>
      <c r="N111" s="15">
        <v>1422.88</v>
      </c>
      <c r="O111" s="15">
        <v>1476.38</v>
      </c>
      <c r="P111" s="15">
        <v>1530.42</v>
      </c>
      <c r="Q111" s="15">
        <v>1585</v>
      </c>
      <c r="R111" s="14">
        <v>6014.68</v>
      </c>
      <c r="S111" s="15">
        <v>1466.99</v>
      </c>
      <c r="T111" s="15">
        <v>1522.15</v>
      </c>
      <c r="U111" s="15">
        <v>1577.86</v>
      </c>
      <c r="V111" s="15">
        <v>1634.13</v>
      </c>
      <c r="W111" s="14">
        <v>6201.13</v>
      </c>
    </row>
    <row r="112" spans="1:23">
      <c r="A112" s="9"/>
      <c r="B112" s="9" t="s">
        <v>48</v>
      </c>
      <c r="C112" s="9" t="s">
        <v>49</v>
      </c>
      <c r="D112" s="15">
        <v>1320.85</v>
      </c>
      <c r="E112" s="15">
        <v>1370.51</v>
      </c>
      <c r="F112" s="15">
        <v>1420.68</v>
      </c>
      <c r="G112" s="15">
        <v>1471.34</v>
      </c>
      <c r="H112" s="14">
        <v>5583.38</v>
      </c>
      <c r="I112" s="15">
        <v>1361.79</v>
      </c>
      <c r="J112" s="15">
        <v>1413</v>
      </c>
      <c r="K112" s="15">
        <v>1464.72</v>
      </c>
      <c r="L112" s="15">
        <v>1516.95</v>
      </c>
      <c r="M112" s="14">
        <v>5756.46</v>
      </c>
      <c r="N112" s="15">
        <v>1404.01</v>
      </c>
      <c r="O112" s="15">
        <v>1456.8</v>
      </c>
      <c r="P112" s="15">
        <v>1510.12</v>
      </c>
      <c r="Q112" s="15">
        <v>1563.98</v>
      </c>
      <c r="R112" s="14">
        <v>5934.91</v>
      </c>
      <c r="S112" s="15">
        <v>1447.53</v>
      </c>
      <c r="T112" s="15">
        <v>1501.96</v>
      </c>
      <c r="U112" s="15">
        <v>1556.94</v>
      </c>
      <c r="V112" s="15">
        <v>1612.46</v>
      </c>
      <c r="W112" s="14">
        <v>6118.89</v>
      </c>
    </row>
    <row r="113" spans="1:23">
      <c r="A113" s="9"/>
      <c r="B113" s="9" t="s">
        <v>50</v>
      </c>
      <c r="C113" s="9" t="s">
        <v>51</v>
      </c>
      <c r="D113" s="15">
        <v>1417.68</v>
      </c>
      <c r="E113" s="15">
        <v>1470.99</v>
      </c>
      <c r="F113" s="15">
        <v>1524.83</v>
      </c>
      <c r="G113" s="15">
        <v>1579.21</v>
      </c>
      <c r="H113" s="14">
        <v>5992.71</v>
      </c>
      <c r="I113" s="15">
        <v>1461.63</v>
      </c>
      <c r="J113" s="15">
        <v>1516.59</v>
      </c>
      <c r="K113" s="15">
        <v>1572.1</v>
      </c>
      <c r="L113" s="15">
        <v>1628.17</v>
      </c>
      <c r="M113" s="14">
        <v>6178.49</v>
      </c>
      <c r="N113" s="15">
        <v>1506.94</v>
      </c>
      <c r="O113" s="15">
        <v>1563.61</v>
      </c>
      <c r="P113" s="15">
        <v>1620.84</v>
      </c>
      <c r="Q113" s="15">
        <v>1678.64</v>
      </c>
      <c r="R113" s="14">
        <v>6370.03</v>
      </c>
      <c r="S113" s="15">
        <v>1553.66</v>
      </c>
      <c r="T113" s="15">
        <v>1612.08</v>
      </c>
      <c r="U113" s="15">
        <v>1671.08</v>
      </c>
      <c r="V113" s="15">
        <v>1730.68</v>
      </c>
      <c r="W113" s="14">
        <v>6567.5</v>
      </c>
    </row>
    <row r="114" spans="1:23">
      <c r="A114" s="9"/>
      <c r="B114" s="9" t="s">
        <v>52</v>
      </c>
      <c r="C114" s="9" t="s">
        <v>53</v>
      </c>
      <c r="D114" s="15">
        <v>339.65</v>
      </c>
      <c r="E114" s="15">
        <v>352.42</v>
      </c>
      <c r="F114" s="15">
        <v>365.32</v>
      </c>
      <c r="G114" s="15">
        <v>378.35</v>
      </c>
      <c r="H114" s="14">
        <v>1435.74</v>
      </c>
      <c r="I114" s="15">
        <v>350.18</v>
      </c>
      <c r="J114" s="15">
        <v>363.34</v>
      </c>
      <c r="K114" s="15">
        <v>376.64</v>
      </c>
      <c r="L114" s="15">
        <v>390.07</v>
      </c>
      <c r="M114" s="14">
        <v>1480.23</v>
      </c>
      <c r="N114" s="15">
        <v>361.03</v>
      </c>
      <c r="O114" s="15">
        <v>374.61</v>
      </c>
      <c r="P114" s="15">
        <v>388.32</v>
      </c>
      <c r="Q114" s="15">
        <v>402.17</v>
      </c>
      <c r="R114" s="14">
        <v>1526.13</v>
      </c>
      <c r="S114" s="15">
        <v>372.22</v>
      </c>
      <c r="T114" s="15">
        <v>386.22</v>
      </c>
      <c r="U114" s="15">
        <v>400.36</v>
      </c>
      <c r="V114" s="15">
        <v>414.63</v>
      </c>
      <c r="W114" s="14">
        <v>1573.43</v>
      </c>
    </row>
    <row r="115" spans="1:23">
      <c r="A115" s="9"/>
      <c r="B115" s="9" t="s">
        <v>54</v>
      </c>
      <c r="C115" s="9" t="s">
        <v>55</v>
      </c>
      <c r="D115" s="15">
        <v>394.68</v>
      </c>
      <c r="E115" s="15">
        <v>409.52</v>
      </c>
      <c r="F115" s="15">
        <v>424.51</v>
      </c>
      <c r="G115" s="15">
        <v>439.65</v>
      </c>
      <c r="H115" s="14">
        <v>1668.36</v>
      </c>
      <c r="I115" s="15">
        <v>406.92</v>
      </c>
      <c r="J115" s="15">
        <v>422.22</v>
      </c>
      <c r="K115" s="15">
        <v>437.67</v>
      </c>
      <c r="L115" s="15">
        <v>453.28</v>
      </c>
      <c r="M115" s="14">
        <v>1720.09</v>
      </c>
      <c r="N115" s="15">
        <v>419.53</v>
      </c>
      <c r="O115" s="15">
        <v>435.31</v>
      </c>
      <c r="P115" s="15">
        <v>451.24</v>
      </c>
      <c r="Q115" s="15">
        <v>467.33</v>
      </c>
      <c r="R115" s="14">
        <v>1773.41</v>
      </c>
      <c r="S115" s="15">
        <v>432.54</v>
      </c>
      <c r="T115" s="15">
        <v>448.8</v>
      </c>
      <c r="U115" s="15">
        <v>465.23</v>
      </c>
      <c r="V115" s="15">
        <v>481.82</v>
      </c>
      <c r="W115" s="14">
        <v>1828.39</v>
      </c>
    </row>
    <row r="116" spans="1:23">
      <c r="A116" s="9"/>
      <c r="B116" s="9" t="s">
        <v>56</v>
      </c>
      <c r="C116" s="9" t="s">
        <v>57</v>
      </c>
      <c r="D116" s="15">
        <v>475.98</v>
      </c>
      <c r="E116" s="15">
        <v>493.88</v>
      </c>
      <c r="F116" s="15">
        <v>511.95</v>
      </c>
      <c r="G116" s="15">
        <v>530.21</v>
      </c>
      <c r="H116" s="14">
        <v>2012.02</v>
      </c>
      <c r="I116" s="15">
        <v>490.73</v>
      </c>
      <c r="J116" s="15">
        <v>509.19</v>
      </c>
      <c r="K116" s="15">
        <v>527.82000000000005</v>
      </c>
      <c r="L116" s="15">
        <v>546.65</v>
      </c>
      <c r="M116" s="14">
        <v>2074.39</v>
      </c>
      <c r="N116" s="15">
        <v>505.95</v>
      </c>
      <c r="O116" s="15">
        <v>524.97</v>
      </c>
      <c r="P116" s="15">
        <v>544.19000000000005</v>
      </c>
      <c r="Q116" s="15">
        <v>563.59</v>
      </c>
      <c r="R116" s="14">
        <v>2138.6999999999998</v>
      </c>
      <c r="S116" s="15">
        <v>521.63</v>
      </c>
      <c r="T116" s="15">
        <v>541.24</v>
      </c>
      <c r="U116" s="15">
        <v>561.05999999999995</v>
      </c>
      <c r="V116" s="15">
        <v>581.05999999999995</v>
      </c>
      <c r="W116" s="14">
        <v>2204.9899999999998</v>
      </c>
    </row>
    <row r="117" spans="1:23">
      <c r="A117" s="9"/>
      <c r="B117" s="9" t="s">
        <v>58</v>
      </c>
      <c r="C117" s="9" t="s">
        <v>59</v>
      </c>
      <c r="D117" s="15">
        <v>559.5</v>
      </c>
      <c r="E117" s="15">
        <v>580.54</v>
      </c>
      <c r="F117" s="15">
        <v>601.79</v>
      </c>
      <c r="G117" s="15">
        <v>623.25</v>
      </c>
      <c r="H117" s="14">
        <v>2365.08</v>
      </c>
      <c r="I117" s="15">
        <v>576.84</v>
      </c>
      <c r="J117" s="15">
        <v>598.54</v>
      </c>
      <c r="K117" s="15">
        <v>620.44000000000005</v>
      </c>
      <c r="L117" s="15">
        <v>642.57000000000005</v>
      </c>
      <c r="M117" s="14">
        <v>2438.39</v>
      </c>
      <c r="N117" s="15">
        <v>594.73</v>
      </c>
      <c r="O117" s="15">
        <v>617.09</v>
      </c>
      <c r="P117" s="15">
        <v>639.67999999999995</v>
      </c>
      <c r="Q117" s="15">
        <v>662.49</v>
      </c>
      <c r="R117" s="14">
        <v>2513.9899999999998</v>
      </c>
      <c r="S117" s="15">
        <v>613.16</v>
      </c>
      <c r="T117" s="15">
        <v>636.22</v>
      </c>
      <c r="U117" s="15">
        <v>659.51</v>
      </c>
      <c r="V117" s="15">
        <v>683.03</v>
      </c>
      <c r="W117" s="14">
        <v>2591.92</v>
      </c>
    </row>
    <row r="118" spans="1:23">
      <c r="A118" s="9"/>
      <c r="B118" s="9" t="s">
        <v>60</v>
      </c>
      <c r="C118" s="9" t="s">
        <v>61</v>
      </c>
      <c r="D118" s="15">
        <v>645.25</v>
      </c>
      <c r="E118" s="15">
        <v>669.51</v>
      </c>
      <c r="F118" s="15">
        <v>694.02</v>
      </c>
      <c r="G118" s="15">
        <v>718.77</v>
      </c>
      <c r="H118" s="14">
        <v>2727.55</v>
      </c>
      <c r="I118" s="15">
        <v>665.25</v>
      </c>
      <c r="J118" s="15">
        <v>690.27</v>
      </c>
      <c r="K118" s="15">
        <v>715.53</v>
      </c>
      <c r="L118" s="15">
        <v>741.05</v>
      </c>
      <c r="M118" s="14">
        <v>2812.1</v>
      </c>
      <c r="N118" s="15">
        <v>685.88</v>
      </c>
      <c r="O118" s="15">
        <v>711.67</v>
      </c>
      <c r="P118" s="15">
        <v>737.72</v>
      </c>
      <c r="Q118" s="15">
        <v>764.02</v>
      </c>
      <c r="R118" s="14">
        <v>2899.29</v>
      </c>
      <c r="S118" s="15">
        <v>707.14</v>
      </c>
      <c r="T118" s="15">
        <v>733.73</v>
      </c>
      <c r="U118" s="15">
        <v>760.58</v>
      </c>
      <c r="V118" s="15">
        <v>787.71</v>
      </c>
      <c r="W118" s="14">
        <v>2989.16</v>
      </c>
    </row>
    <row r="119" spans="1:23">
      <c r="A119" s="9"/>
      <c r="B119" s="9" t="s">
        <v>62</v>
      </c>
      <c r="C119" s="9" t="s">
        <v>63</v>
      </c>
      <c r="D119" s="15">
        <v>615.88</v>
      </c>
      <c r="E119" s="15">
        <v>639.04</v>
      </c>
      <c r="F119" s="15">
        <v>662.43</v>
      </c>
      <c r="G119" s="15">
        <v>686.06</v>
      </c>
      <c r="H119" s="14">
        <v>2603.41</v>
      </c>
      <c r="I119" s="15">
        <v>634.98</v>
      </c>
      <c r="J119" s="15">
        <v>658.85</v>
      </c>
      <c r="K119" s="15">
        <v>682.97</v>
      </c>
      <c r="L119" s="15">
        <v>707.32</v>
      </c>
      <c r="M119" s="14">
        <v>2684.12</v>
      </c>
      <c r="N119" s="15">
        <v>654.66</v>
      </c>
      <c r="O119" s="15">
        <v>679.28</v>
      </c>
      <c r="P119" s="15">
        <v>704.14</v>
      </c>
      <c r="Q119" s="15">
        <v>729.25</v>
      </c>
      <c r="R119" s="14">
        <v>2767.33</v>
      </c>
      <c r="S119" s="15">
        <v>674.95</v>
      </c>
      <c r="T119" s="15">
        <v>700.33</v>
      </c>
      <c r="U119" s="15">
        <v>725.97</v>
      </c>
      <c r="V119" s="15">
        <v>751.86</v>
      </c>
      <c r="W119" s="14">
        <v>2853.11</v>
      </c>
    </row>
    <row r="120" spans="1:23">
      <c r="A120" s="9"/>
      <c r="B120" s="9" t="s">
        <v>64</v>
      </c>
      <c r="C120" s="9" t="s">
        <v>65</v>
      </c>
      <c r="D120" s="15">
        <v>655.28</v>
      </c>
      <c r="E120" s="18">
        <v>679.92</v>
      </c>
      <c r="F120" s="18">
        <v>704.81</v>
      </c>
      <c r="G120" s="18">
        <v>729.94</v>
      </c>
      <c r="H120" s="19">
        <v>2769.95</v>
      </c>
      <c r="I120" s="18">
        <v>675.6</v>
      </c>
      <c r="J120" s="18">
        <v>701</v>
      </c>
      <c r="K120" s="18">
        <v>726.66</v>
      </c>
      <c r="L120" s="18">
        <v>752.57</v>
      </c>
      <c r="M120" s="19">
        <v>2855.83</v>
      </c>
      <c r="N120" s="18">
        <v>696.54</v>
      </c>
      <c r="O120" s="18">
        <v>722.73</v>
      </c>
      <c r="P120" s="18">
        <v>749.19</v>
      </c>
      <c r="Q120" s="18">
        <v>775.9</v>
      </c>
      <c r="R120" s="19">
        <v>2944.36</v>
      </c>
      <c r="S120" s="18">
        <v>718.13</v>
      </c>
      <c r="T120" s="18">
        <v>745.14</v>
      </c>
      <c r="U120" s="18">
        <v>772.41</v>
      </c>
      <c r="V120" s="18">
        <v>799.95</v>
      </c>
      <c r="W120" s="19">
        <v>3035.63</v>
      </c>
    </row>
    <row r="121" spans="1:23">
      <c r="A121" s="8" t="s">
        <v>66</v>
      </c>
      <c r="B121" s="27" t="s">
        <v>67</v>
      </c>
      <c r="C121" s="28"/>
      <c r="D121" s="13">
        <v>1745.5</v>
      </c>
      <c r="E121" s="13">
        <v>1811.13</v>
      </c>
      <c r="F121" s="13">
        <v>1877.42</v>
      </c>
      <c r="G121" s="13">
        <v>1944.37</v>
      </c>
      <c r="H121" s="14">
        <v>7378.42</v>
      </c>
      <c r="I121" s="13">
        <v>1799.6</v>
      </c>
      <c r="J121" s="13">
        <v>1867.28</v>
      </c>
      <c r="K121" s="13">
        <v>1935.62</v>
      </c>
      <c r="L121" s="13">
        <v>2004.65</v>
      </c>
      <c r="M121" s="14">
        <v>7607.15</v>
      </c>
      <c r="N121" s="13">
        <v>1855.4</v>
      </c>
      <c r="O121" s="13">
        <v>1925.16</v>
      </c>
      <c r="P121" s="13">
        <v>1995.63</v>
      </c>
      <c r="Q121" s="13">
        <v>2066.79</v>
      </c>
      <c r="R121" s="14">
        <v>7842.98</v>
      </c>
      <c r="S121" s="13">
        <v>1912.92</v>
      </c>
      <c r="T121" s="13">
        <v>1984.84</v>
      </c>
      <c r="U121" s="13">
        <v>2057.4899999999998</v>
      </c>
      <c r="V121" s="13">
        <v>2130.86</v>
      </c>
      <c r="W121" s="14">
        <v>8086.11</v>
      </c>
    </row>
    <row r="122" spans="1:23">
      <c r="A122" s="9"/>
      <c r="B122" s="9" t="s">
        <v>14</v>
      </c>
      <c r="C122" s="9" t="s">
        <v>68</v>
      </c>
      <c r="D122" s="15">
        <v>827.92</v>
      </c>
      <c r="E122" s="16">
        <v>859.05</v>
      </c>
      <c r="F122" s="16">
        <v>890.49</v>
      </c>
      <c r="G122" s="16">
        <v>922.25</v>
      </c>
      <c r="H122" s="17">
        <v>3499.71</v>
      </c>
      <c r="I122" s="16">
        <v>853.58</v>
      </c>
      <c r="J122" s="16">
        <v>885.68</v>
      </c>
      <c r="K122" s="16">
        <v>918.1</v>
      </c>
      <c r="L122" s="16">
        <v>950.84</v>
      </c>
      <c r="M122" s="17">
        <v>3608.2</v>
      </c>
      <c r="N122" s="16">
        <v>880.05</v>
      </c>
      <c r="O122" s="16">
        <v>913.14</v>
      </c>
      <c r="P122" s="16">
        <v>946.56</v>
      </c>
      <c r="Q122" s="16">
        <v>980.31</v>
      </c>
      <c r="R122" s="17">
        <v>3720.06</v>
      </c>
      <c r="S122" s="16">
        <v>907.33</v>
      </c>
      <c r="T122" s="16">
        <v>941.44</v>
      </c>
      <c r="U122" s="16">
        <v>975.9</v>
      </c>
      <c r="V122" s="16">
        <v>1010.7</v>
      </c>
      <c r="W122" s="17">
        <v>3835.37</v>
      </c>
    </row>
    <row r="123" spans="1:23">
      <c r="A123" s="9"/>
      <c r="B123" s="9" t="s">
        <v>23</v>
      </c>
      <c r="C123" s="9" t="s">
        <v>69</v>
      </c>
      <c r="D123" s="15">
        <v>917.58</v>
      </c>
      <c r="E123" s="18">
        <v>952.08</v>
      </c>
      <c r="F123" s="18">
        <v>986.93</v>
      </c>
      <c r="G123" s="18">
        <v>1022.12</v>
      </c>
      <c r="H123" s="19">
        <v>3878.71</v>
      </c>
      <c r="I123" s="18">
        <v>946.02</v>
      </c>
      <c r="J123" s="18">
        <v>981.6</v>
      </c>
      <c r="K123" s="18">
        <v>1017.52</v>
      </c>
      <c r="L123" s="18">
        <v>1053.81</v>
      </c>
      <c r="M123" s="19">
        <v>3998.95</v>
      </c>
      <c r="N123" s="18">
        <v>975.35</v>
      </c>
      <c r="O123" s="18">
        <v>1012.02</v>
      </c>
      <c r="P123" s="18">
        <v>1049.07</v>
      </c>
      <c r="Q123" s="18">
        <v>1086.48</v>
      </c>
      <c r="R123" s="19">
        <v>4122.92</v>
      </c>
      <c r="S123" s="18">
        <v>1005.59</v>
      </c>
      <c r="T123" s="18">
        <v>1043.4000000000001</v>
      </c>
      <c r="U123" s="18">
        <v>1081.5899999999999</v>
      </c>
      <c r="V123" s="18">
        <v>1120.1600000000001</v>
      </c>
      <c r="W123" s="19">
        <v>4250.74</v>
      </c>
    </row>
    <row r="124" spans="1:23">
      <c r="A124" s="8" t="s">
        <v>70</v>
      </c>
      <c r="B124" s="27" t="s">
        <v>71</v>
      </c>
      <c r="C124" s="28"/>
      <c r="D124" s="13">
        <v>8075.72</v>
      </c>
      <c r="E124" s="13">
        <v>8379.39</v>
      </c>
      <c r="F124" s="13">
        <v>8686.1</v>
      </c>
      <c r="G124" s="13">
        <v>8995.85</v>
      </c>
      <c r="H124" s="14">
        <v>34137.06</v>
      </c>
      <c r="I124" s="13">
        <v>8326.07</v>
      </c>
      <c r="J124" s="13">
        <v>8639.15</v>
      </c>
      <c r="K124" s="13">
        <v>8955.3700000000008</v>
      </c>
      <c r="L124" s="13">
        <v>9274.7199999999993</v>
      </c>
      <c r="M124" s="14">
        <v>35195.31</v>
      </c>
      <c r="N124" s="13">
        <v>8584.18</v>
      </c>
      <c r="O124" s="13">
        <v>8906.9599999999991</v>
      </c>
      <c r="P124" s="13">
        <v>9232.98</v>
      </c>
      <c r="Q124" s="13">
        <v>9562.24</v>
      </c>
      <c r="R124" s="14">
        <v>36286.36</v>
      </c>
      <c r="S124" s="13">
        <v>8850.2900000000009</v>
      </c>
      <c r="T124" s="13">
        <v>9183.08</v>
      </c>
      <c r="U124" s="13">
        <v>9519.2000000000007</v>
      </c>
      <c r="V124" s="13">
        <v>9858.67</v>
      </c>
      <c r="W124" s="14">
        <v>37411.24</v>
      </c>
    </row>
    <row r="125" spans="1:23">
      <c r="A125" s="8" t="s">
        <v>72</v>
      </c>
      <c r="B125" s="27" t="s">
        <v>73</v>
      </c>
      <c r="C125" s="28"/>
      <c r="D125" s="13">
        <v>8212.69</v>
      </c>
      <c r="E125" s="13">
        <v>8521.51</v>
      </c>
      <c r="F125" s="13">
        <v>8833.42</v>
      </c>
      <c r="G125" s="13">
        <v>9148.43</v>
      </c>
      <c r="H125" s="14">
        <v>34716.050000000003</v>
      </c>
      <c r="I125" s="13">
        <v>8467.2900000000009</v>
      </c>
      <c r="J125" s="13">
        <v>8785.68</v>
      </c>
      <c r="K125" s="13">
        <v>9107.26</v>
      </c>
      <c r="L125" s="13">
        <v>9432.0300000000007</v>
      </c>
      <c r="M125" s="14">
        <v>35792.26</v>
      </c>
      <c r="N125" s="13">
        <v>8729.77</v>
      </c>
      <c r="O125" s="13">
        <v>9058.0300000000007</v>
      </c>
      <c r="P125" s="13">
        <v>9389.58</v>
      </c>
      <c r="Q125" s="13">
        <v>9724.42</v>
      </c>
      <c r="R125" s="14">
        <v>36901.800000000003</v>
      </c>
      <c r="S125" s="13">
        <v>9000.4</v>
      </c>
      <c r="T125" s="13">
        <v>9338.83</v>
      </c>
      <c r="U125" s="13">
        <v>9680.66</v>
      </c>
      <c r="V125" s="13">
        <v>10025.879999999999</v>
      </c>
      <c r="W125" s="14">
        <v>38045.769999999997</v>
      </c>
    </row>
    <row r="126" spans="1:23">
      <c r="A126" s="8" t="s">
        <v>74</v>
      </c>
      <c r="B126" s="27" t="s">
        <v>75</v>
      </c>
      <c r="C126" s="28"/>
      <c r="D126" s="13">
        <v>9960.61</v>
      </c>
      <c r="E126" s="13">
        <v>10335.14</v>
      </c>
      <c r="F126" s="13">
        <v>10713.43</v>
      </c>
      <c r="G126" s="13">
        <v>11095.48</v>
      </c>
      <c r="H126" s="14">
        <v>42104.66</v>
      </c>
      <c r="I126" s="13">
        <v>10269.379999999999</v>
      </c>
      <c r="J126" s="13">
        <v>10655.53</v>
      </c>
      <c r="K126" s="13">
        <v>11045.56</v>
      </c>
      <c r="L126" s="13">
        <v>11439.44</v>
      </c>
      <c r="M126" s="14">
        <v>43409.91</v>
      </c>
      <c r="N126" s="13">
        <v>10587.73</v>
      </c>
      <c r="O126" s="13">
        <v>10985.85</v>
      </c>
      <c r="P126" s="13">
        <v>11387.96</v>
      </c>
      <c r="Q126" s="13">
        <v>11794.06</v>
      </c>
      <c r="R126" s="14">
        <v>44755.6</v>
      </c>
      <c r="S126" s="13">
        <v>10915.95</v>
      </c>
      <c r="T126" s="13">
        <v>11326.42</v>
      </c>
      <c r="U126" s="13">
        <v>11740.99</v>
      </c>
      <c r="V126" s="13">
        <v>12159.68</v>
      </c>
      <c r="W126" s="14">
        <v>46143.040000000001</v>
      </c>
    </row>
    <row r="127" spans="1:23">
      <c r="A127" s="9"/>
      <c r="B127" s="9" t="s">
        <v>14</v>
      </c>
      <c r="C127" s="9" t="s">
        <v>76</v>
      </c>
      <c r="D127" s="15">
        <v>8770.7000000000007</v>
      </c>
      <c r="E127" s="16">
        <v>9100.49</v>
      </c>
      <c r="F127" s="16">
        <v>9433.59</v>
      </c>
      <c r="G127" s="16">
        <v>9770</v>
      </c>
      <c r="H127" s="17">
        <v>37074.78</v>
      </c>
      <c r="I127" s="16">
        <v>9042.59</v>
      </c>
      <c r="J127" s="16">
        <v>9382.61</v>
      </c>
      <c r="K127" s="16">
        <v>9726.0400000000009</v>
      </c>
      <c r="L127" s="16">
        <v>10072.870000000001</v>
      </c>
      <c r="M127" s="17">
        <v>38224.11</v>
      </c>
      <c r="N127" s="16">
        <v>9322.91</v>
      </c>
      <c r="O127" s="16">
        <v>9673.4699999999993</v>
      </c>
      <c r="P127" s="16">
        <v>10027.540000000001</v>
      </c>
      <c r="Q127" s="16">
        <v>10385.129999999999</v>
      </c>
      <c r="R127" s="17">
        <v>39409.050000000003</v>
      </c>
      <c r="S127" s="16">
        <v>9611.92</v>
      </c>
      <c r="T127" s="16">
        <v>9973.35</v>
      </c>
      <c r="U127" s="16">
        <v>10338.4</v>
      </c>
      <c r="V127" s="16">
        <v>10707.07</v>
      </c>
      <c r="W127" s="17">
        <v>40630.74</v>
      </c>
    </row>
    <row r="128" spans="1:23">
      <c r="A128" s="9"/>
      <c r="B128" s="9" t="s">
        <v>23</v>
      </c>
      <c r="C128" s="9" t="s">
        <v>77</v>
      </c>
      <c r="D128" s="15">
        <v>1189.9100000000001</v>
      </c>
      <c r="E128" s="18">
        <v>1234.6500000000001</v>
      </c>
      <c r="F128" s="18">
        <v>1279.8399999999999</v>
      </c>
      <c r="G128" s="18">
        <v>1325.48</v>
      </c>
      <c r="H128" s="19">
        <v>5029.88</v>
      </c>
      <c r="I128" s="18">
        <v>1226.79</v>
      </c>
      <c r="J128" s="18">
        <v>1272.92</v>
      </c>
      <c r="K128" s="18">
        <v>1319.52</v>
      </c>
      <c r="L128" s="18">
        <v>1366.57</v>
      </c>
      <c r="M128" s="19">
        <v>5185.8</v>
      </c>
      <c r="N128" s="18">
        <v>1264.82</v>
      </c>
      <c r="O128" s="18">
        <v>1312.38</v>
      </c>
      <c r="P128" s="18">
        <v>1360.42</v>
      </c>
      <c r="Q128" s="18">
        <v>1408.93</v>
      </c>
      <c r="R128" s="19">
        <v>5346.55</v>
      </c>
      <c r="S128" s="18">
        <v>1304.03</v>
      </c>
      <c r="T128" s="18">
        <v>1353.07</v>
      </c>
      <c r="U128" s="18">
        <v>1402.59</v>
      </c>
      <c r="V128" s="18">
        <v>1452.61</v>
      </c>
      <c r="W128" s="19">
        <v>5512.3</v>
      </c>
    </row>
    <row r="129" spans="1:23">
      <c r="A129" s="8" t="s">
        <v>78</v>
      </c>
      <c r="B129" s="27" t="s">
        <v>79</v>
      </c>
      <c r="C129" s="28"/>
      <c r="D129" s="13">
        <v>5271.78</v>
      </c>
      <c r="E129" s="13">
        <v>5470.02</v>
      </c>
      <c r="F129" s="13">
        <v>5670.22</v>
      </c>
      <c r="G129" s="13">
        <v>5872.43</v>
      </c>
      <c r="H129" s="14">
        <v>22284.45</v>
      </c>
      <c r="I129" s="13">
        <v>5435.2</v>
      </c>
      <c r="J129" s="13">
        <v>5639.57</v>
      </c>
      <c r="K129" s="13">
        <v>5845.99</v>
      </c>
      <c r="L129" s="13">
        <v>6054.45</v>
      </c>
      <c r="M129" s="14">
        <v>22975.21</v>
      </c>
      <c r="N129" s="13">
        <v>5603.7</v>
      </c>
      <c r="O129" s="13">
        <v>5814.41</v>
      </c>
      <c r="P129" s="13">
        <v>6027.21</v>
      </c>
      <c r="Q129" s="13">
        <v>6242.15</v>
      </c>
      <c r="R129" s="14">
        <v>23687.47</v>
      </c>
      <c r="S129" s="13">
        <v>5777.4</v>
      </c>
      <c r="T129" s="13">
        <v>5994.65</v>
      </c>
      <c r="U129" s="13">
        <v>6214.06</v>
      </c>
      <c r="V129" s="13">
        <v>6435.67</v>
      </c>
      <c r="W129" s="14">
        <v>24421.78</v>
      </c>
    </row>
    <row r="130" spans="1:23">
      <c r="A130" s="9"/>
      <c r="B130" s="9" t="s">
        <v>14</v>
      </c>
      <c r="C130" s="9" t="s">
        <v>80</v>
      </c>
      <c r="D130" s="15">
        <v>1287.19</v>
      </c>
      <c r="E130" s="16">
        <v>1335.59</v>
      </c>
      <c r="F130" s="16">
        <v>1384.47</v>
      </c>
      <c r="G130" s="16">
        <v>1433.85</v>
      </c>
      <c r="H130" s="17">
        <v>5441.1</v>
      </c>
      <c r="I130" s="16">
        <v>1327.09</v>
      </c>
      <c r="J130" s="16">
        <v>1376.99</v>
      </c>
      <c r="K130" s="16">
        <v>1427.39</v>
      </c>
      <c r="L130" s="16">
        <v>1478.29</v>
      </c>
      <c r="M130" s="17">
        <v>5609.76</v>
      </c>
      <c r="N130" s="16">
        <v>1368.23</v>
      </c>
      <c r="O130" s="16">
        <v>1419.68</v>
      </c>
      <c r="P130" s="16">
        <v>1471.64</v>
      </c>
      <c r="Q130" s="16">
        <v>1524.12</v>
      </c>
      <c r="R130" s="17">
        <v>5783.67</v>
      </c>
      <c r="S130" s="16">
        <v>1410.64</v>
      </c>
      <c r="T130" s="16">
        <v>1463.69</v>
      </c>
      <c r="U130" s="16">
        <v>1517.26</v>
      </c>
      <c r="V130" s="16">
        <v>1571.37</v>
      </c>
      <c r="W130" s="17">
        <v>5962.96</v>
      </c>
    </row>
    <row r="131" spans="1:23">
      <c r="A131" s="9"/>
      <c r="B131" s="9" t="s">
        <v>23</v>
      </c>
      <c r="C131" s="9" t="s">
        <v>81</v>
      </c>
      <c r="D131" s="15">
        <v>1381.87</v>
      </c>
      <c r="E131" s="15">
        <v>1433.83</v>
      </c>
      <c r="F131" s="15">
        <v>1486.31</v>
      </c>
      <c r="G131" s="15">
        <v>1539.32</v>
      </c>
      <c r="H131" s="14">
        <v>5841.33</v>
      </c>
      <c r="I131" s="15">
        <v>1424.71</v>
      </c>
      <c r="J131" s="15">
        <v>1478.28</v>
      </c>
      <c r="K131" s="15">
        <v>1532.39</v>
      </c>
      <c r="L131" s="15">
        <v>1587.03</v>
      </c>
      <c r="M131" s="14">
        <v>6022.41</v>
      </c>
      <c r="N131" s="15">
        <v>1468.87</v>
      </c>
      <c r="O131" s="15">
        <v>1524.11</v>
      </c>
      <c r="P131" s="15">
        <v>1579.89</v>
      </c>
      <c r="Q131" s="15">
        <v>1636.23</v>
      </c>
      <c r="R131" s="14">
        <v>6209.1</v>
      </c>
      <c r="S131" s="15">
        <v>1514.41</v>
      </c>
      <c r="T131" s="15">
        <v>1571.35</v>
      </c>
      <c r="U131" s="15">
        <v>1628.87</v>
      </c>
      <c r="V131" s="15">
        <v>1686.96</v>
      </c>
      <c r="W131" s="14">
        <v>6401.59</v>
      </c>
    </row>
    <row r="132" spans="1:23">
      <c r="A132" s="9"/>
      <c r="B132" s="9" t="s">
        <v>25</v>
      </c>
      <c r="C132" s="9" t="s">
        <v>82</v>
      </c>
      <c r="D132" s="15">
        <v>1478.78</v>
      </c>
      <c r="E132" s="15">
        <v>1534.39</v>
      </c>
      <c r="F132" s="15">
        <v>1590.55</v>
      </c>
      <c r="G132" s="15">
        <v>1647.27</v>
      </c>
      <c r="H132" s="14">
        <v>6250.99</v>
      </c>
      <c r="I132" s="15">
        <v>1524.62</v>
      </c>
      <c r="J132" s="15">
        <v>1581.95</v>
      </c>
      <c r="K132" s="15">
        <v>1639.85</v>
      </c>
      <c r="L132" s="15">
        <v>1698.33</v>
      </c>
      <c r="M132" s="14">
        <v>6444.75</v>
      </c>
      <c r="N132" s="15">
        <v>1571.89</v>
      </c>
      <c r="O132" s="15">
        <v>1630.99</v>
      </c>
      <c r="P132" s="15">
        <v>1690.69</v>
      </c>
      <c r="Q132" s="15">
        <v>1750.98</v>
      </c>
      <c r="R132" s="14">
        <v>6644.55</v>
      </c>
      <c r="S132" s="15">
        <v>1620.61</v>
      </c>
      <c r="T132" s="15">
        <v>1681.55</v>
      </c>
      <c r="U132" s="15">
        <v>1743.1</v>
      </c>
      <c r="V132" s="15">
        <v>1805.26</v>
      </c>
      <c r="W132" s="14">
        <v>6850.52</v>
      </c>
    </row>
    <row r="133" spans="1:23">
      <c r="A133" s="9"/>
      <c r="B133" s="9" t="s">
        <v>32</v>
      </c>
      <c r="C133" s="9" t="s">
        <v>83</v>
      </c>
      <c r="D133" s="15">
        <v>301.79000000000002</v>
      </c>
      <c r="E133" s="15">
        <v>313.14</v>
      </c>
      <c r="F133" s="15">
        <v>324.60000000000002</v>
      </c>
      <c r="G133" s="15">
        <v>336.17</v>
      </c>
      <c r="H133" s="14">
        <v>1275.7</v>
      </c>
      <c r="I133" s="15">
        <v>311.14</v>
      </c>
      <c r="J133" s="15">
        <v>322.83999999999997</v>
      </c>
      <c r="K133" s="15">
        <v>334.66</v>
      </c>
      <c r="L133" s="15">
        <v>346.59</v>
      </c>
      <c r="M133" s="14">
        <v>1315.23</v>
      </c>
      <c r="N133" s="15">
        <v>320.79000000000002</v>
      </c>
      <c r="O133" s="15">
        <v>332.85</v>
      </c>
      <c r="P133" s="15">
        <v>345.03</v>
      </c>
      <c r="Q133" s="15">
        <v>357.34</v>
      </c>
      <c r="R133" s="14">
        <v>1356.01</v>
      </c>
      <c r="S133" s="15">
        <v>330.73</v>
      </c>
      <c r="T133" s="15">
        <v>343.17</v>
      </c>
      <c r="U133" s="15">
        <v>355.73</v>
      </c>
      <c r="V133" s="15">
        <v>368.42</v>
      </c>
      <c r="W133" s="14">
        <v>1398.05</v>
      </c>
    </row>
    <row r="134" spans="1:23">
      <c r="A134" s="9"/>
      <c r="B134" s="9" t="s">
        <v>42</v>
      </c>
      <c r="C134" s="9" t="s">
        <v>84</v>
      </c>
      <c r="D134" s="15">
        <v>384.84</v>
      </c>
      <c r="E134" s="15">
        <v>399.31</v>
      </c>
      <c r="F134" s="15">
        <v>413.92</v>
      </c>
      <c r="G134" s="15">
        <v>428.68</v>
      </c>
      <c r="H134" s="14">
        <v>1626.75</v>
      </c>
      <c r="I134" s="15">
        <v>396.77</v>
      </c>
      <c r="J134" s="15">
        <v>411.69</v>
      </c>
      <c r="K134" s="15">
        <v>426.75</v>
      </c>
      <c r="L134" s="15">
        <v>441.97</v>
      </c>
      <c r="M134" s="14">
        <v>1677.18</v>
      </c>
      <c r="N134" s="15">
        <v>409.07</v>
      </c>
      <c r="O134" s="15">
        <v>424.45</v>
      </c>
      <c r="P134" s="15">
        <v>439.98</v>
      </c>
      <c r="Q134" s="15">
        <v>455.67</v>
      </c>
      <c r="R134" s="14">
        <v>1729.17</v>
      </c>
      <c r="S134" s="15">
        <v>421.75</v>
      </c>
      <c r="T134" s="15">
        <v>437.61</v>
      </c>
      <c r="U134" s="15">
        <v>453.62</v>
      </c>
      <c r="V134" s="15">
        <v>469.8</v>
      </c>
      <c r="W134" s="14">
        <v>1782.78</v>
      </c>
    </row>
    <row r="135" spans="1:23">
      <c r="A135" s="9"/>
      <c r="B135" s="9" t="s">
        <v>44</v>
      </c>
      <c r="C135" s="9" t="s">
        <v>85</v>
      </c>
      <c r="D135" s="15">
        <v>437.31</v>
      </c>
      <c r="E135" s="18">
        <v>453.76</v>
      </c>
      <c r="F135" s="18">
        <v>470.37</v>
      </c>
      <c r="G135" s="18">
        <v>487.14</v>
      </c>
      <c r="H135" s="14">
        <v>1848.58</v>
      </c>
      <c r="I135" s="18">
        <v>450.87</v>
      </c>
      <c r="J135" s="18">
        <v>467.82</v>
      </c>
      <c r="K135" s="18">
        <v>484.95</v>
      </c>
      <c r="L135" s="18">
        <v>502.24</v>
      </c>
      <c r="M135" s="19">
        <v>1905.88</v>
      </c>
      <c r="N135" s="18">
        <v>464.85</v>
      </c>
      <c r="O135" s="18">
        <v>482.33</v>
      </c>
      <c r="P135" s="18">
        <v>499.98</v>
      </c>
      <c r="Q135" s="18">
        <v>517.80999999999995</v>
      </c>
      <c r="R135" s="14">
        <v>1964.97</v>
      </c>
      <c r="S135" s="18">
        <v>479.26</v>
      </c>
      <c r="T135" s="18">
        <v>497.28</v>
      </c>
      <c r="U135" s="18">
        <v>515.48</v>
      </c>
      <c r="V135" s="18">
        <v>533.86</v>
      </c>
      <c r="W135" s="14">
        <v>2025.88</v>
      </c>
    </row>
    <row r="136" spans="1:23">
      <c r="A136" s="8" t="s">
        <v>8</v>
      </c>
      <c r="B136" s="27" t="s">
        <v>86</v>
      </c>
      <c r="C136" s="28"/>
      <c r="D136" s="13">
        <v>10345.68</v>
      </c>
      <c r="E136" s="13">
        <v>10734.71</v>
      </c>
      <c r="F136" s="13">
        <v>11127.62</v>
      </c>
      <c r="G136" s="13">
        <v>11524.44</v>
      </c>
      <c r="H136" s="14">
        <v>43732.45</v>
      </c>
      <c r="I136" s="13">
        <v>10666.4</v>
      </c>
      <c r="J136" s="13">
        <v>11067.48</v>
      </c>
      <c r="K136" s="13">
        <v>11472.58</v>
      </c>
      <c r="L136" s="13">
        <v>11881.7</v>
      </c>
      <c r="M136" s="19">
        <v>45088.160000000003</v>
      </c>
      <c r="N136" s="13">
        <v>10997.06</v>
      </c>
      <c r="O136" s="13">
        <v>11410.57</v>
      </c>
      <c r="P136" s="13">
        <v>11828.23</v>
      </c>
      <c r="Q136" s="13">
        <v>12250.03</v>
      </c>
      <c r="R136" s="14">
        <v>46485.89</v>
      </c>
      <c r="S136" s="13">
        <v>11337.97</v>
      </c>
      <c r="T136" s="13">
        <v>11764.3</v>
      </c>
      <c r="U136" s="13">
        <v>12194.91</v>
      </c>
      <c r="V136" s="13">
        <v>12629.78</v>
      </c>
      <c r="W136" s="14">
        <v>47926.96</v>
      </c>
    </row>
    <row r="137" spans="1:23">
      <c r="A137" s="9"/>
      <c r="B137" s="9" t="s">
        <v>14</v>
      </c>
      <c r="C137" s="9" t="s">
        <v>87</v>
      </c>
      <c r="D137" s="15">
        <v>4827.28</v>
      </c>
      <c r="E137" s="16">
        <v>5008.8</v>
      </c>
      <c r="F137" s="16">
        <v>5192.13</v>
      </c>
      <c r="G137" s="16">
        <v>5377.29</v>
      </c>
      <c r="H137" s="14">
        <v>20405.5</v>
      </c>
      <c r="I137" s="16">
        <v>4976.93</v>
      </c>
      <c r="J137" s="16">
        <v>5164.07</v>
      </c>
      <c r="K137" s="16">
        <v>5353.09</v>
      </c>
      <c r="L137" s="16">
        <v>5543.98</v>
      </c>
      <c r="M137" s="19">
        <v>21038.07</v>
      </c>
      <c r="N137" s="16">
        <v>5131.21</v>
      </c>
      <c r="O137" s="16">
        <v>5324.16</v>
      </c>
      <c r="P137" s="16">
        <v>5519.04</v>
      </c>
      <c r="Q137" s="16">
        <v>5715.85</v>
      </c>
      <c r="R137" s="14">
        <v>21690.26</v>
      </c>
      <c r="S137" s="16">
        <v>5290.28</v>
      </c>
      <c r="T137" s="16">
        <v>5489.21</v>
      </c>
      <c r="U137" s="16">
        <v>5690.13</v>
      </c>
      <c r="V137" s="16">
        <v>5893.04</v>
      </c>
      <c r="W137" s="14">
        <v>22362.66</v>
      </c>
    </row>
    <row r="138" spans="1:23">
      <c r="A138" s="9"/>
      <c r="B138" s="9" t="s">
        <v>23</v>
      </c>
      <c r="C138" s="9" t="s">
        <v>88</v>
      </c>
      <c r="D138" s="15">
        <v>5518.4</v>
      </c>
      <c r="E138" s="15">
        <v>5725.91</v>
      </c>
      <c r="F138" s="15">
        <v>5935.49</v>
      </c>
      <c r="G138" s="15">
        <v>6147.15</v>
      </c>
      <c r="H138" s="14">
        <v>23326.95</v>
      </c>
      <c r="I138" s="15">
        <v>5689.47</v>
      </c>
      <c r="J138" s="15">
        <v>5903.41</v>
      </c>
      <c r="K138" s="15">
        <v>6119.49</v>
      </c>
      <c r="L138" s="15">
        <v>6337.72</v>
      </c>
      <c r="M138" s="19">
        <v>24050.09</v>
      </c>
      <c r="N138" s="15">
        <v>5865.85</v>
      </c>
      <c r="O138" s="15">
        <v>6086.41</v>
      </c>
      <c r="P138" s="15">
        <v>6309.19</v>
      </c>
      <c r="Q138" s="15">
        <v>6534.18</v>
      </c>
      <c r="R138" s="14">
        <v>24795.63</v>
      </c>
      <c r="S138" s="15">
        <v>6047.69</v>
      </c>
      <c r="T138" s="15">
        <v>6275.09</v>
      </c>
      <c r="U138" s="15">
        <v>6504.78</v>
      </c>
      <c r="V138" s="15">
        <v>6736.74</v>
      </c>
      <c r="W138" s="14">
        <v>25564.3</v>
      </c>
    </row>
    <row r="139" spans="1:23">
      <c r="A139" s="8" t="s">
        <v>89</v>
      </c>
      <c r="B139" s="27" t="s">
        <v>90</v>
      </c>
      <c r="C139" s="28"/>
      <c r="D139" s="13">
        <v>6227.35</v>
      </c>
      <c r="E139" s="13">
        <v>6461.51</v>
      </c>
      <c r="F139" s="13">
        <v>6698.02</v>
      </c>
      <c r="G139" s="13">
        <v>6936.87</v>
      </c>
      <c r="H139" s="14">
        <v>26323.75</v>
      </c>
      <c r="I139" s="13">
        <v>6420.39</v>
      </c>
      <c r="J139" s="13">
        <v>6661.81</v>
      </c>
      <c r="K139" s="13">
        <v>6905.65</v>
      </c>
      <c r="L139" s="13">
        <v>7151.91</v>
      </c>
      <c r="M139" s="14">
        <v>27139.759999999998</v>
      </c>
      <c r="N139" s="13">
        <v>6619.43</v>
      </c>
      <c r="O139" s="13">
        <v>6868.33</v>
      </c>
      <c r="P139" s="13">
        <v>7119.73</v>
      </c>
      <c r="Q139" s="13">
        <v>7373.62</v>
      </c>
      <c r="R139" s="14">
        <v>27981.11</v>
      </c>
      <c r="S139" s="13">
        <v>6824.63</v>
      </c>
      <c r="T139" s="13">
        <v>7081.25</v>
      </c>
      <c r="U139" s="13">
        <v>7340.44</v>
      </c>
      <c r="V139" s="13">
        <v>7602.21</v>
      </c>
      <c r="W139" s="14">
        <v>28848.53</v>
      </c>
    </row>
    <row r="140" spans="1:23">
      <c r="A140" s="8" t="s">
        <v>91</v>
      </c>
      <c r="B140" s="27" t="s">
        <v>92</v>
      </c>
      <c r="C140" s="28"/>
      <c r="D140" s="13">
        <v>9775.17</v>
      </c>
      <c r="E140" s="13">
        <v>10142.74</v>
      </c>
      <c r="F140" s="13">
        <v>10513.99</v>
      </c>
      <c r="G140" s="13">
        <v>10888.93</v>
      </c>
      <c r="H140" s="14">
        <v>41320.83</v>
      </c>
      <c r="I140" s="13">
        <v>10078.19</v>
      </c>
      <c r="J140" s="13">
        <v>10457.16</v>
      </c>
      <c r="K140" s="13">
        <v>10839.93</v>
      </c>
      <c r="L140" s="13">
        <v>11226.48</v>
      </c>
      <c r="M140" s="14">
        <v>42601.760000000002</v>
      </c>
      <c r="N140" s="13">
        <v>10390.620000000001</v>
      </c>
      <c r="O140" s="13">
        <v>10781.33</v>
      </c>
      <c r="P140" s="13">
        <v>11175.96</v>
      </c>
      <c r="Q140" s="13">
        <v>11574.51</v>
      </c>
      <c r="R140" s="14">
        <v>43922.42</v>
      </c>
      <c r="S140" s="13">
        <v>10712.74</v>
      </c>
      <c r="T140" s="13">
        <v>11115.56</v>
      </c>
      <c r="U140" s="13">
        <v>11522.42</v>
      </c>
      <c r="V140" s="13">
        <v>11933.3</v>
      </c>
      <c r="W140" s="14">
        <v>45284.02</v>
      </c>
    </row>
    <row r="141" spans="1:23">
      <c r="A141" s="9"/>
      <c r="B141" s="9" t="s">
        <v>14</v>
      </c>
      <c r="C141" s="9" t="s">
        <v>93</v>
      </c>
      <c r="D141" s="15">
        <v>783.76</v>
      </c>
      <c r="E141" s="15">
        <v>813.23</v>
      </c>
      <c r="F141" s="15">
        <v>842.99</v>
      </c>
      <c r="G141" s="15">
        <v>873.06</v>
      </c>
      <c r="H141" s="14">
        <v>3313.04</v>
      </c>
      <c r="I141" s="15">
        <v>808.05</v>
      </c>
      <c r="J141" s="15">
        <v>838.44</v>
      </c>
      <c r="K141" s="15">
        <v>869.13</v>
      </c>
      <c r="L141" s="15">
        <v>900.12</v>
      </c>
      <c r="M141" s="14">
        <v>3415.74</v>
      </c>
      <c r="N141" s="15">
        <v>833.1</v>
      </c>
      <c r="O141" s="15">
        <v>864.43</v>
      </c>
      <c r="P141" s="15">
        <v>896.07</v>
      </c>
      <c r="Q141" s="15">
        <v>928.03</v>
      </c>
      <c r="R141" s="14">
        <v>3521.63</v>
      </c>
      <c r="S141" s="15">
        <v>858.93</v>
      </c>
      <c r="T141" s="15">
        <v>891.23</v>
      </c>
      <c r="U141" s="15">
        <v>923.85</v>
      </c>
      <c r="V141" s="15">
        <v>956.79</v>
      </c>
      <c r="W141" s="14">
        <v>3630.8</v>
      </c>
    </row>
    <row r="142" spans="1:23">
      <c r="A142" s="9"/>
      <c r="B142" s="9" t="s">
        <v>23</v>
      </c>
      <c r="C142" s="9" t="s">
        <v>94</v>
      </c>
      <c r="D142" s="15">
        <v>6974.63</v>
      </c>
      <c r="E142" s="15">
        <v>7236.89</v>
      </c>
      <c r="F142" s="15">
        <v>7501.78</v>
      </c>
      <c r="G142" s="15">
        <v>7769.3</v>
      </c>
      <c r="H142" s="14">
        <v>29482.6</v>
      </c>
      <c r="I142" s="15">
        <v>7190.84</v>
      </c>
      <c r="J142" s="15">
        <v>7461.23</v>
      </c>
      <c r="K142" s="15">
        <v>7734.34</v>
      </c>
      <c r="L142" s="15">
        <v>8010.15</v>
      </c>
      <c r="M142" s="14">
        <v>30396.560000000001</v>
      </c>
      <c r="N142" s="15">
        <v>7413.76</v>
      </c>
      <c r="O142" s="15">
        <v>7692.53</v>
      </c>
      <c r="P142" s="15">
        <v>7974.1</v>
      </c>
      <c r="Q142" s="15">
        <v>8258.4599999999991</v>
      </c>
      <c r="R142" s="14">
        <v>31338.85</v>
      </c>
      <c r="S142" s="15">
        <v>7643.59</v>
      </c>
      <c r="T142" s="15">
        <v>7931</v>
      </c>
      <c r="U142" s="15">
        <v>8221.2999999999993</v>
      </c>
      <c r="V142" s="15">
        <v>8514.4699999999993</v>
      </c>
      <c r="W142" s="14">
        <v>32310.36</v>
      </c>
    </row>
    <row r="143" spans="1:23">
      <c r="A143" s="9"/>
      <c r="B143" s="9" t="s">
        <v>25</v>
      </c>
      <c r="C143" s="9" t="s">
        <v>95</v>
      </c>
      <c r="D143" s="15">
        <v>962.13</v>
      </c>
      <c r="E143" s="15">
        <v>998.31</v>
      </c>
      <c r="F143" s="15">
        <v>1034.8499999999999</v>
      </c>
      <c r="G143" s="15">
        <v>1071.75</v>
      </c>
      <c r="H143" s="14">
        <v>4067.04</v>
      </c>
      <c r="I143" s="15">
        <v>991.95</v>
      </c>
      <c r="J143" s="15">
        <v>1029.25</v>
      </c>
      <c r="K143" s="15">
        <v>1066.93</v>
      </c>
      <c r="L143" s="15">
        <v>1104.97</v>
      </c>
      <c r="M143" s="14">
        <v>4193.1000000000004</v>
      </c>
      <c r="N143" s="15">
        <v>1022.7</v>
      </c>
      <c r="O143" s="15">
        <v>1061.1600000000001</v>
      </c>
      <c r="P143" s="15">
        <v>1100</v>
      </c>
      <c r="Q143" s="15">
        <v>1139.23</v>
      </c>
      <c r="R143" s="14">
        <v>4323.09</v>
      </c>
      <c r="S143" s="15">
        <v>1054.4100000000001</v>
      </c>
      <c r="T143" s="15">
        <v>1094.06</v>
      </c>
      <c r="U143" s="15">
        <v>1134.0999999999999</v>
      </c>
      <c r="V143" s="15">
        <v>1174.54</v>
      </c>
      <c r="W143" s="14">
        <v>4457.1099999999997</v>
      </c>
    </row>
    <row r="144" spans="1:23">
      <c r="A144" s="9"/>
      <c r="B144" s="9" t="s">
        <v>32</v>
      </c>
      <c r="C144" s="9" t="s">
        <v>96</v>
      </c>
      <c r="D144" s="15">
        <v>1054.6500000000001</v>
      </c>
      <c r="E144" s="15">
        <v>1094.31</v>
      </c>
      <c r="F144" s="15">
        <v>1134.3699999999999</v>
      </c>
      <c r="G144" s="15">
        <v>1174.82</v>
      </c>
      <c r="H144" s="14">
        <v>4458.1499999999996</v>
      </c>
      <c r="I144" s="15">
        <v>1087.3499999999999</v>
      </c>
      <c r="J144" s="15">
        <v>1128.24</v>
      </c>
      <c r="K144" s="15">
        <v>1169.53</v>
      </c>
      <c r="L144" s="15">
        <v>1211.24</v>
      </c>
      <c r="M144" s="14">
        <v>4596.3599999999997</v>
      </c>
      <c r="N144" s="15">
        <v>1121.06</v>
      </c>
      <c r="O144" s="15">
        <v>1163.21</v>
      </c>
      <c r="P144" s="15">
        <v>1205.79</v>
      </c>
      <c r="Q144" s="15">
        <v>1248.79</v>
      </c>
      <c r="R144" s="14">
        <v>4738.8500000000004</v>
      </c>
      <c r="S144" s="15">
        <v>1155.81</v>
      </c>
      <c r="T144" s="15">
        <v>1199.27</v>
      </c>
      <c r="U144" s="15">
        <v>1243.17</v>
      </c>
      <c r="V144" s="15">
        <v>1287.5</v>
      </c>
      <c r="W144" s="14">
        <v>4885.75</v>
      </c>
    </row>
    <row r="145" spans="1:23">
      <c r="A145" s="8" t="s">
        <v>97</v>
      </c>
      <c r="B145" s="27" t="s">
        <v>98</v>
      </c>
      <c r="C145" s="28"/>
      <c r="D145" s="13">
        <v>8553.74</v>
      </c>
      <c r="E145" s="13">
        <v>8875.3799999999992</v>
      </c>
      <c r="F145" s="13">
        <v>9200.25</v>
      </c>
      <c r="G145" s="13">
        <v>9528.33</v>
      </c>
      <c r="H145" s="14">
        <v>36157.699999999997</v>
      </c>
      <c r="I145" s="13">
        <v>8818.91</v>
      </c>
      <c r="J145" s="13">
        <v>9150.52</v>
      </c>
      <c r="K145" s="13">
        <v>9485.4500000000007</v>
      </c>
      <c r="L145" s="13">
        <v>9823.7099999999991</v>
      </c>
      <c r="M145" s="14">
        <v>37278.589999999997</v>
      </c>
      <c r="N145" s="13">
        <v>9092.2999999999993</v>
      </c>
      <c r="O145" s="13">
        <v>9434.19</v>
      </c>
      <c r="P145" s="13">
        <v>9779.5</v>
      </c>
      <c r="Q145" s="13">
        <v>10128.25</v>
      </c>
      <c r="R145" s="14">
        <v>38434.239999999998</v>
      </c>
      <c r="S145" s="13">
        <v>9374.16</v>
      </c>
      <c r="T145" s="13">
        <v>9726.65</v>
      </c>
      <c r="U145" s="13">
        <v>10082.67</v>
      </c>
      <c r="V145" s="13">
        <v>10442.219999999999</v>
      </c>
      <c r="W145" s="14">
        <v>39625.699999999997</v>
      </c>
    </row>
    <row r="146" spans="1:23">
      <c r="A146" s="8" t="s">
        <v>99</v>
      </c>
      <c r="B146" s="27" t="s">
        <v>100</v>
      </c>
      <c r="C146" s="28"/>
      <c r="D146" s="13">
        <v>9285.0499999999993</v>
      </c>
      <c r="E146" s="13">
        <v>9634.19</v>
      </c>
      <c r="F146" s="13">
        <v>9986.82</v>
      </c>
      <c r="G146" s="13">
        <v>10342.959999999999</v>
      </c>
      <c r="H146" s="14">
        <v>39249.019999999997</v>
      </c>
      <c r="I146" s="13">
        <v>9572.8799999999992</v>
      </c>
      <c r="J146" s="13">
        <v>9932.84</v>
      </c>
      <c r="K146" s="13">
        <v>10296.41</v>
      </c>
      <c r="L146" s="13">
        <v>10663.59</v>
      </c>
      <c r="M146" s="14">
        <v>40465.72</v>
      </c>
      <c r="N146" s="13">
        <v>9869.64</v>
      </c>
      <c r="O146" s="13">
        <v>10240.76</v>
      </c>
      <c r="P146" s="13">
        <v>10615.6</v>
      </c>
      <c r="Q146" s="13">
        <v>10994.16</v>
      </c>
      <c r="R146" s="14">
        <v>41720.160000000003</v>
      </c>
      <c r="S146" s="13">
        <v>10175.6</v>
      </c>
      <c r="T146" s="13">
        <v>10558.23</v>
      </c>
      <c r="U146" s="13">
        <v>10944.69</v>
      </c>
      <c r="V146" s="13">
        <v>11334.98</v>
      </c>
      <c r="W146" s="14">
        <v>43013.5</v>
      </c>
    </row>
    <row r="147" spans="1:23">
      <c r="A147" s="8" t="s">
        <v>101</v>
      </c>
      <c r="B147" s="27" t="s">
        <v>102</v>
      </c>
      <c r="C147" s="28"/>
      <c r="D147" s="13">
        <v>9121.98</v>
      </c>
      <c r="E147" s="13">
        <v>9464.98</v>
      </c>
      <c r="F147" s="13">
        <v>9811.43</v>
      </c>
      <c r="G147" s="13">
        <v>10161.31</v>
      </c>
      <c r="H147" s="14">
        <v>38559.699999999997</v>
      </c>
      <c r="I147" s="13">
        <v>9404.76</v>
      </c>
      <c r="J147" s="13">
        <v>9758.4</v>
      </c>
      <c r="K147" s="13">
        <v>10115.58</v>
      </c>
      <c r="L147" s="13">
        <v>10476.31</v>
      </c>
      <c r="M147" s="14">
        <v>39755.050000000003</v>
      </c>
      <c r="N147" s="13">
        <v>9696.31</v>
      </c>
      <c r="O147" s="13">
        <v>10060.91</v>
      </c>
      <c r="P147" s="13">
        <v>10429.16</v>
      </c>
      <c r="Q147" s="13">
        <v>10801.08</v>
      </c>
      <c r="R147" s="14">
        <v>40987.46</v>
      </c>
      <c r="S147" s="13">
        <v>9996.89</v>
      </c>
      <c r="T147" s="13">
        <v>10372.790000000001</v>
      </c>
      <c r="U147" s="13">
        <v>10752.47</v>
      </c>
      <c r="V147" s="13">
        <v>11135.91</v>
      </c>
      <c r="W147" s="14">
        <v>42258.06</v>
      </c>
    </row>
    <row r="148" spans="1:23">
      <c r="A148" s="8" t="s">
        <v>103</v>
      </c>
      <c r="B148" s="27" t="s">
        <v>104</v>
      </c>
      <c r="C148" s="27"/>
      <c r="D148" s="20">
        <v>9875.64</v>
      </c>
      <c r="E148" s="13">
        <v>10246.99</v>
      </c>
      <c r="F148" s="13">
        <v>10622.05</v>
      </c>
      <c r="G148" s="13">
        <v>11000.84</v>
      </c>
      <c r="H148" s="14">
        <v>41745.519999999997</v>
      </c>
      <c r="I148" s="13">
        <v>10181.790000000001</v>
      </c>
      <c r="J148" s="13">
        <v>10564.64</v>
      </c>
      <c r="K148" s="13">
        <v>10951.34</v>
      </c>
      <c r="L148" s="13">
        <v>11341.87</v>
      </c>
      <c r="M148" s="14">
        <v>43039.64</v>
      </c>
      <c r="N148" s="13">
        <v>10497.42</v>
      </c>
      <c r="O148" s="13">
        <v>10892.15</v>
      </c>
      <c r="P148" s="13">
        <v>11290.83</v>
      </c>
      <c r="Q148" s="13">
        <v>11693.47</v>
      </c>
      <c r="R148" s="14">
        <v>44373.87</v>
      </c>
      <c r="S148" s="13">
        <v>10822.84</v>
      </c>
      <c r="T148" s="13">
        <v>11229.8</v>
      </c>
      <c r="U148" s="13">
        <v>11640.84</v>
      </c>
      <c r="V148" s="13">
        <v>12055.97</v>
      </c>
      <c r="W148" s="14">
        <v>45749.45</v>
      </c>
    </row>
    <row r="149" spans="1:23">
      <c r="A149" s="8" t="s">
        <v>105</v>
      </c>
      <c r="B149" s="27" t="s">
        <v>106</v>
      </c>
      <c r="C149" s="27"/>
      <c r="D149" s="20">
        <v>10647.13</v>
      </c>
      <c r="E149" s="13">
        <v>11047.48</v>
      </c>
      <c r="F149" s="13">
        <v>11451.85</v>
      </c>
      <c r="G149" s="13">
        <v>11860.23</v>
      </c>
      <c r="H149" s="14">
        <v>45006.69</v>
      </c>
      <c r="I149" s="13">
        <v>10977.19</v>
      </c>
      <c r="J149" s="13">
        <v>11389.95</v>
      </c>
      <c r="K149" s="13">
        <v>11806.86</v>
      </c>
      <c r="L149" s="13">
        <v>12227.9</v>
      </c>
      <c r="M149" s="14">
        <v>46401.9</v>
      </c>
      <c r="N149" s="13">
        <v>11317.48</v>
      </c>
      <c r="O149" s="13">
        <v>11743.04</v>
      </c>
      <c r="P149" s="13">
        <v>12172.87</v>
      </c>
      <c r="Q149" s="13">
        <v>12606.96</v>
      </c>
      <c r="R149" s="14">
        <v>47840.35</v>
      </c>
      <c r="S149" s="13">
        <v>11668.32</v>
      </c>
      <c r="T149" s="13">
        <v>12107.08</v>
      </c>
      <c r="U149" s="13">
        <v>12550.23</v>
      </c>
      <c r="V149" s="13">
        <v>12997.78</v>
      </c>
      <c r="W149" s="14">
        <v>49323.41</v>
      </c>
    </row>
    <row r="150" spans="1:23">
      <c r="A150" s="8" t="s">
        <v>107</v>
      </c>
      <c r="B150" s="27" t="s">
        <v>108</v>
      </c>
      <c r="C150" s="27"/>
      <c r="D150" s="20">
        <v>10638.55</v>
      </c>
      <c r="E150" s="13">
        <v>11038.58</v>
      </c>
      <c r="F150" s="13">
        <v>11442.62</v>
      </c>
      <c r="G150" s="13">
        <v>11850.67</v>
      </c>
      <c r="H150" s="14">
        <v>44970.42</v>
      </c>
      <c r="I150" s="13">
        <v>10968.34</v>
      </c>
      <c r="J150" s="13">
        <v>11380.77</v>
      </c>
      <c r="K150" s="13">
        <v>11797.34</v>
      </c>
      <c r="L150" s="13">
        <v>12218.04</v>
      </c>
      <c r="M150" s="14">
        <v>46364.49</v>
      </c>
      <c r="N150" s="13">
        <v>11308.36</v>
      </c>
      <c r="O150" s="13">
        <v>11733.58</v>
      </c>
      <c r="P150" s="13">
        <v>12163.06</v>
      </c>
      <c r="Q150" s="13">
        <v>12596.8</v>
      </c>
      <c r="R150" s="14">
        <v>47801.8</v>
      </c>
      <c r="S150" s="13">
        <v>11658.92</v>
      </c>
      <c r="T150" s="13">
        <v>12097.32</v>
      </c>
      <c r="U150" s="13">
        <v>12540.11</v>
      </c>
      <c r="V150" s="13">
        <v>12987.3</v>
      </c>
      <c r="W150" s="14">
        <v>49283.65</v>
      </c>
    </row>
    <row r="151" spans="1:23">
      <c r="A151" s="34" t="s">
        <v>109</v>
      </c>
      <c r="B151" s="34"/>
      <c r="C151" s="34"/>
      <c r="D151" s="21">
        <v>144935.04000000001</v>
      </c>
      <c r="E151" s="21">
        <v>150384.9</v>
      </c>
      <c r="F151" s="21">
        <v>155889.35999999999</v>
      </c>
      <c r="G151" s="21">
        <v>161448.51999999999</v>
      </c>
      <c r="H151" s="21">
        <v>612657.81999999995</v>
      </c>
      <c r="I151" s="21">
        <v>149427.98000000001</v>
      </c>
      <c r="J151" s="21">
        <v>155046.79</v>
      </c>
      <c r="K151" s="21">
        <v>160721.92000000001</v>
      </c>
      <c r="L151" s="21">
        <v>166453.35</v>
      </c>
      <c r="M151" s="21">
        <v>631650.04</v>
      </c>
      <c r="N151" s="21">
        <v>154060.28</v>
      </c>
      <c r="O151" s="21">
        <v>159853.29</v>
      </c>
      <c r="P151" s="21">
        <v>165704.31</v>
      </c>
      <c r="Q151" s="21">
        <v>171613.42</v>
      </c>
      <c r="R151" s="21">
        <v>651231.30000000005</v>
      </c>
      <c r="S151" s="21">
        <v>158836.14000000001</v>
      </c>
      <c r="T151" s="21">
        <v>164808.71</v>
      </c>
      <c r="U151" s="21">
        <v>170841.16</v>
      </c>
      <c r="V151" s="21">
        <v>176933.49</v>
      </c>
      <c r="W151" s="21">
        <v>671419.5</v>
      </c>
    </row>
    <row r="152" spans="1:23">
      <c r="A152" s="34" t="s">
        <v>110</v>
      </c>
      <c r="B152" s="34"/>
      <c r="C152" s="34"/>
      <c r="D152" s="21">
        <v>143576.76999999999</v>
      </c>
      <c r="E152" s="21">
        <v>148975.56</v>
      </c>
      <c r="F152" s="21">
        <v>154428.44</v>
      </c>
      <c r="G152" s="21">
        <v>159935.49</v>
      </c>
      <c r="H152" s="21">
        <v>606916.26</v>
      </c>
      <c r="I152" s="21">
        <v>148027.60999999999</v>
      </c>
      <c r="J152" s="21">
        <v>153593.76</v>
      </c>
      <c r="K152" s="21">
        <v>159215.70000000001</v>
      </c>
      <c r="L152" s="21">
        <v>164893.42000000001</v>
      </c>
      <c r="M152" s="21">
        <v>625730.49</v>
      </c>
      <c r="N152" s="21">
        <v>152616.5</v>
      </c>
      <c r="O152" s="21">
        <v>158355.21</v>
      </c>
      <c r="P152" s="21">
        <v>164151.4</v>
      </c>
      <c r="Q152" s="21">
        <v>170005.14</v>
      </c>
      <c r="R152" s="21">
        <v>645128.25</v>
      </c>
      <c r="S152" s="21">
        <v>157347.59</v>
      </c>
      <c r="T152" s="21">
        <v>163264.20000000001</v>
      </c>
      <c r="U152" s="21">
        <v>169240.11</v>
      </c>
      <c r="V152" s="21">
        <v>175275.34</v>
      </c>
      <c r="W152" s="21">
        <v>665127.24</v>
      </c>
    </row>
  </sheetData>
  <mergeCells count="54">
    <mergeCell ref="B121:C121"/>
    <mergeCell ref="B124:C124"/>
    <mergeCell ref="B125:C125"/>
    <mergeCell ref="B136:C136"/>
    <mergeCell ref="B139:C139"/>
    <mergeCell ref="B126:C126"/>
    <mergeCell ref="B129:C129"/>
    <mergeCell ref="B140:C140"/>
    <mergeCell ref="B145:C145"/>
    <mergeCell ref="B146:C146"/>
    <mergeCell ref="A151:C151"/>
    <mergeCell ref="A152:C152"/>
    <mergeCell ref="B147:C147"/>
    <mergeCell ref="B148:C148"/>
    <mergeCell ref="B149:C149"/>
    <mergeCell ref="B150:C150"/>
    <mergeCell ref="B44:C44"/>
    <mergeCell ref="B25:C25"/>
    <mergeCell ref="B20:C20"/>
    <mergeCell ref="B97:C97"/>
    <mergeCell ref="B102:C102"/>
    <mergeCell ref="B86:C86"/>
    <mergeCell ref="B70:C70"/>
    <mergeCell ref="B69:C69"/>
    <mergeCell ref="B68:C68"/>
    <mergeCell ref="B72:C72"/>
    <mergeCell ref="B71:C71"/>
    <mergeCell ref="B73:C73"/>
    <mergeCell ref="A74:C74"/>
    <mergeCell ref="A75:C75"/>
    <mergeCell ref="B9:C9"/>
    <mergeCell ref="A78:W78"/>
    <mergeCell ref="A79:B79"/>
    <mergeCell ref="A81:A82"/>
    <mergeCell ref="B81:C82"/>
    <mergeCell ref="D81:H81"/>
    <mergeCell ref="I81:M81"/>
    <mergeCell ref="N81:R81"/>
    <mergeCell ref="S81:W81"/>
    <mergeCell ref="B63:C63"/>
    <mergeCell ref="B62:C62"/>
    <mergeCell ref="B59:C59"/>
    <mergeCell ref="B52:C52"/>
    <mergeCell ref="B49:C49"/>
    <mergeCell ref="B47:C47"/>
    <mergeCell ref="B48:C48"/>
    <mergeCell ref="A1:W1"/>
    <mergeCell ref="D4:H4"/>
    <mergeCell ref="I4:M4"/>
    <mergeCell ref="N4:R4"/>
    <mergeCell ref="S4:W4"/>
    <mergeCell ref="B4:C5"/>
    <mergeCell ref="A4:A5"/>
    <mergeCell ref="A2:B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F45C-F1AE-4D63-A60D-3599BCB54C51}">
  <dimension ref="A1:W56"/>
  <sheetViews>
    <sheetView zoomScale="50" zoomScaleNormal="50" workbookViewId="0">
      <selection activeCell="D27" sqref="D9:W27"/>
    </sheetView>
  </sheetViews>
  <sheetFormatPr defaultRowHeight="14.25"/>
  <cols>
    <col min="1" max="1" width="10.75" customWidth="1"/>
    <col min="2" max="2" width="3.25" customWidth="1"/>
    <col min="3" max="3" width="84.75" customWidth="1"/>
    <col min="4" max="7" width="9.875" customWidth="1"/>
    <col min="8" max="8" width="10.25" customWidth="1"/>
    <col min="9" max="12" width="9.875" customWidth="1"/>
    <col min="13" max="13" width="10.25" customWidth="1"/>
    <col min="14" max="17" width="9.875" customWidth="1"/>
    <col min="18" max="18" width="10.25" customWidth="1"/>
    <col min="19" max="22" width="9.875" customWidth="1"/>
    <col min="23" max="23" width="10.25" customWidth="1"/>
  </cols>
  <sheetData>
    <row r="1" spans="1:23" ht="15">
      <c r="A1" s="29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">
      <c r="A2" s="30" t="s">
        <v>1</v>
      </c>
      <c r="B2" s="3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>
      <c r="A4" s="31" t="s">
        <v>2</v>
      </c>
      <c r="B4" s="32" t="s">
        <v>3</v>
      </c>
      <c r="C4" s="32"/>
      <c r="D4" s="33" t="s">
        <v>4</v>
      </c>
      <c r="E4" s="33"/>
      <c r="F4" s="33"/>
      <c r="G4" s="33"/>
      <c r="H4" s="33"/>
      <c r="I4" s="33" t="s">
        <v>5</v>
      </c>
      <c r="J4" s="33"/>
      <c r="K4" s="33"/>
      <c r="L4" s="33"/>
      <c r="M4" s="33"/>
      <c r="N4" s="33" t="s">
        <v>6</v>
      </c>
      <c r="O4" s="33"/>
      <c r="P4" s="33"/>
      <c r="Q4" s="33"/>
      <c r="R4" s="33"/>
      <c r="S4" s="33" t="s">
        <v>7</v>
      </c>
      <c r="T4" s="33"/>
      <c r="U4" s="33"/>
      <c r="V4" s="33"/>
      <c r="W4" s="33"/>
    </row>
    <row r="5" spans="1:23" ht="15">
      <c r="A5" s="31"/>
      <c r="B5" s="32"/>
      <c r="C5" s="32"/>
      <c r="D5" s="3" t="s">
        <v>8</v>
      </c>
      <c r="E5" s="3" t="s">
        <v>9</v>
      </c>
      <c r="F5" s="3" t="s">
        <v>10</v>
      </c>
      <c r="G5" s="3" t="s">
        <v>11</v>
      </c>
      <c r="H5" s="3" t="s">
        <v>128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128</v>
      </c>
      <c r="N5" s="3" t="s">
        <v>8</v>
      </c>
      <c r="O5" s="3" t="s">
        <v>9</v>
      </c>
      <c r="P5" s="3" t="s">
        <v>10</v>
      </c>
      <c r="Q5" s="3" t="s">
        <v>11</v>
      </c>
      <c r="R5" s="3" t="s">
        <v>128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128</v>
      </c>
    </row>
    <row r="6" spans="1:23">
      <c r="A6" s="1"/>
      <c r="B6" s="1"/>
      <c r="C6" s="1"/>
      <c r="D6" s="1"/>
      <c r="E6" s="1"/>
      <c r="F6" s="1"/>
      <c r="G6" s="1"/>
      <c r="H6" s="6"/>
      <c r="I6" s="1"/>
      <c r="J6" s="1"/>
      <c r="K6" s="1"/>
      <c r="L6" s="1"/>
      <c r="M6" s="6"/>
      <c r="N6" s="1"/>
      <c r="O6" s="1"/>
      <c r="P6" s="1"/>
      <c r="Q6" s="1"/>
      <c r="R6" s="6"/>
      <c r="S6" s="1"/>
      <c r="T6" s="1"/>
      <c r="U6" s="1"/>
      <c r="V6" s="1"/>
      <c r="W6" s="6"/>
    </row>
    <row r="7" spans="1:23">
      <c r="A7" s="4">
        <v>1</v>
      </c>
      <c r="B7" s="11"/>
      <c r="C7" s="4">
        <f>A7+1</f>
        <v>2</v>
      </c>
      <c r="D7" s="4">
        <f>C7+1</f>
        <v>3</v>
      </c>
      <c r="E7" s="4">
        <f t="shared" ref="E7:W7" si="0">D7+1</f>
        <v>4</v>
      </c>
      <c r="F7" s="4">
        <f t="shared" si="0"/>
        <v>5</v>
      </c>
      <c r="G7" s="4">
        <f t="shared" si="0"/>
        <v>6</v>
      </c>
      <c r="H7" s="7">
        <f t="shared" si="0"/>
        <v>7</v>
      </c>
      <c r="I7" s="4">
        <f t="shared" si="0"/>
        <v>8</v>
      </c>
      <c r="J7" s="4">
        <f t="shared" si="0"/>
        <v>9</v>
      </c>
      <c r="K7" s="4">
        <f t="shared" si="0"/>
        <v>10</v>
      </c>
      <c r="L7" s="4">
        <f t="shared" si="0"/>
        <v>11</v>
      </c>
      <c r="M7" s="7">
        <f t="shared" si="0"/>
        <v>12</v>
      </c>
      <c r="N7" s="4">
        <f t="shared" si="0"/>
        <v>13</v>
      </c>
      <c r="O7" s="4">
        <f t="shared" si="0"/>
        <v>14</v>
      </c>
      <c r="P7" s="4">
        <f t="shared" si="0"/>
        <v>15</v>
      </c>
      <c r="Q7" s="4">
        <f t="shared" si="0"/>
        <v>16</v>
      </c>
      <c r="R7" s="7">
        <f t="shared" si="0"/>
        <v>17</v>
      </c>
      <c r="S7" s="4">
        <f t="shared" si="0"/>
        <v>18</v>
      </c>
      <c r="T7" s="4">
        <f t="shared" si="0"/>
        <v>19</v>
      </c>
      <c r="U7" s="4">
        <f t="shared" si="0"/>
        <v>20</v>
      </c>
      <c r="V7" s="4">
        <f t="shared" si="0"/>
        <v>21</v>
      </c>
      <c r="W7" s="7">
        <f t="shared" si="0"/>
        <v>22</v>
      </c>
    </row>
    <row r="8" spans="1:23">
      <c r="A8" s="9"/>
      <c r="B8" s="9"/>
      <c r="C8" s="9"/>
      <c r="D8" s="9"/>
      <c r="E8" s="9"/>
      <c r="F8" s="9"/>
      <c r="G8" s="9"/>
      <c r="H8" s="10"/>
      <c r="I8" s="9"/>
      <c r="J8" s="9"/>
      <c r="K8" s="9"/>
      <c r="L8" s="9"/>
      <c r="M8" s="10"/>
      <c r="N8" s="9"/>
      <c r="O8" s="9"/>
      <c r="P8" s="9"/>
      <c r="Q8" s="9"/>
      <c r="R8" s="10"/>
      <c r="S8" s="9"/>
      <c r="T8" s="9"/>
      <c r="U8" s="9"/>
      <c r="V8" s="9"/>
      <c r="W8" s="10"/>
    </row>
    <row r="9" spans="1:23">
      <c r="A9" s="8" t="s">
        <v>12</v>
      </c>
      <c r="B9" s="27" t="s">
        <v>13</v>
      </c>
      <c r="C9" s="28"/>
      <c r="D9" s="13">
        <v>1965.54</v>
      </c>
      <c r="E9" s="13">
        <v>2047.89</v>
      </c>
      <c r="F9" s="13">
        <v>2075.61</v>
      </c>
      <c r="G9" s="13">
        <v>2184.85</v>
      </c>
      <c r="H9" s="14">
        <v>8273.89</v>
      </c>
      <c r="I9" s="13">
        <v>2088.7600000000002</v>
      </c>
      <c r="J9" s="13">
        <v>2176.27</v>
      </c>
      <c r="K9" s="13">
        <v>2207.4899999999998</v>
      </c>
      <c r="L9" s="13">
        <v>2321.8200000000002</v>
      </c>
      <c r="M9" s="14">
        <v>8794.34</v>
      </c>
      <c r="N9" s="13">
        <v>2245.62</v>
      </c>
      <c r="O9" s="13">
        <v>2339.6999999999998</v>
      </c>
      <c r="P9" s="13">
        <v>2375.15</v>
      </c>
      <c r="Q9" s="13">
        <v>2496.1799999999998</v>
      </c>
      <c r="R9" s="14">
        <v>9456.65</v>
      </c>
      <c r="S9" s="13">
        <v>2423.31</v>
      </c>
      <c r="T9" s="13">
        <v>2524.83</v>
      </c>
      <c r="U9" s="13">
        <v>2559.0100000000002</v>
      </c>
      <c r="V9" s="13">
        <v>2693.7</v>
      </c>
      <c r="W9" s="14">
        <v>10200.85</v>
      </c>
    </row>
    <row r="10" spans="1:23">
      <c r="A10" s="8" t="s">
        <v>27</v>
      </c>
      <c r="B10" s="27" t="s">
        <v>28</v>
      </c>
      <c r="C10" s="28"/>
      <c r="D10" s="13">
        <v>224.06</v>
      </c>
      <c r="E10" s="13">
        <v>232.67</v>
      </c>
      <c r="F10" s="13">
        <v>236.11</v>
      </c>
      <c r="G10" s="13">
        <v>248.53</v>
      </c>
      <c r="H10" s="14">
        <v>941.37</v>
      </c>
      <c r="I10" s="13">
        <v>238.81</v>
      </c>
      <c r="J10" s="13">
        <v>247.99</v>
      </c>
      <c r="K10" s="13">
        <v>251.86</v>
      </c>
      <c r="L10" s="13">
        <v>264.89999999999998</v>
      </c>
      <c r="M10" s="14">
        <v>1003.56</v>
      </c>
      <c r="N10" s="13">
        <v>257.52</v>
      </c>
      <c r="O10" s="13">
        <v>267.42</v>
      </c>
      <c r="P10" s="13">
        <v>271.8</v>
      </c>
      <c r="Q10" s="13">
        <v>285.64999999999998</v>
      </c>
      <c r="R10" s="14">
        <v>1082.3900000000001</v>
      </c>
      <c r="S10" s="13">
        <v>278.74</v>
      </c>
      <c r="T10" s="13">
        <v>289.45</v>
      </c>
      <c r="U10" s="13">
        <v>293.73</v>
      </c>
      <c r="V10" s="13">
        <v>309.18</v>
      </c>
      <c r="W10" s="14">
        <v>1171.0999999999999</v>
      </c>
    </row>
    <row r="11" spans="1:23">
      <c r="A11" s="8" t="s">
        <v>34</v>
      </c>
      <c r="B11" s="27" t="s">
        <v>35</v>
      </c>
      <c r="C11" s="28"/>
      <c r="D11" s="13">
        <v>5866.28</v>
      </c>
      <c r="E11" s="13">
        <v>6071.66</v>
      </c>
      <c r="F11" s="13">
        <v>6168.82</v>
      </c>
      <c r="G11" s="13">
        <v>6493.5</v>
      </c>
      <c r="H11" s="14">
        <v>24600.26</v>
      </c>
      <c r="I11" s="13">
        <v>6271.34</v>
      </c>
      <c r="J11" s="13">
        <v>6490.9</v>
      </c>
      <c r="K11" s="13">
        <v>6600.02</v>
      </c>
      <c r="L11" s="13">
        <v>6941.86</v>
      </c>
      <c r="M11" s="14">
        <v>26304.12</v>
      </c>
      <c r="N11" s="13">
        <v>6782.86</v>
      </c>
      <c r="O11" s="13">
        <v>7020.33</v>
      </c>
      <c r="P11" s="13">
        <v>7144.05</v>
      </c>
      <c r="Q11" s="13">
        <v>7508.08</v>
      </c>
      <c r="R11" s="14">
        <v>28455.32</v>
      </c>
      <c r="S11" s="13">
        <v>7363.89</v>
      </c>
      <c r="T11" s="13">
        <v>7621.7</v>
      </c>
      <c r="U11" s="13">
        <v>7743.66</v>
      </c>
      <c r="V11" s="13">
        <v>8151.22</v>
      </c>
      <c r="W11" s="14">
        <v>30880.47</v>
      </c>
    </row>
    <row r="12" spans="1:23">
      <c r="A12" s="8" t="s">
        <v>66</v>
      </c>
      <c r="B12" s="27" t="s">
        <v>67</v>
      </c>
      <c r="C12" s="28"/>
      <c r="D12" s="13">
        <v>55.46</v>
      </c>
      <c r="E12" s="13">
        <v>57.57</v>
      </c>
      <c r="F12" s="13">
        <v>58.56</v>
      </c>
      <c r="G12" s="13">
        <v>61.64</v>
      </c>
      <c r="H12" s="14">
        <v>233.23</v>
      </c>
      <c r="I12" s="13">
        <v>59.46</v>
      </c>
      <c r="J12" s="13">
        <v>61.73</v>
      </c>
      <c r="K12" s="13">
        <v>62.84</v>
      </c>
      <c r="L12" s="13">
        <v>66.11</v>
      </c>
      <c r="M12" s="14">
        <v>250.14</v>
      </c>
      <c r="N12" s="13">
        <v>64.510000000000005</v>
      </c>
      <c r="O12" s="13">
        <v>66.97</v>
      </c>
      <c r="P12" s="13">
        <v>68.23</v>
      </c>
      <c r="Q12" s="13">
        <v>71.7</v>
      </c>
      <c r="R12" s="14">
        <v>271.41000000000003</v>
      </c>
      <c r="S12" s="13">
        <v>70.239999999999995</v>
      </c>
      <c r="T12" s="13">
        <v>72.92</v>
      </c>
      <c r="U12" s="13">
        <v>74.180000000000007</v>
      </c>
      <c r="V12" s="13">
        <v>78.08</v>
      </c>
      <c r="W12" s="14">
        <v>295.42</v>
      </c>
    </row>
    <row r="13" spans="1:23">
      <c r="A13" s="8" t="s">
        <v>70</v>
      </c>
      <c r="B13" s="27" t="s">
        <v>71</v>
      </c>
      <c r="C13" s="28"/>
      <c r="D13" s="13">
        <v>36.83</v>
      </c>
      <c r="E13" s="13">
        <v>38.29</v>
      </c>
      <c r="F13" s="13">
        <v>38.81</v>
      </c>
      <c r="G13" s="13">
        <v>40.86</v>
      </c>
      <c r="H13" s="14">
        <v>154.79</v>
      </c>
      <c r="I13" s="13">
        <v>39.61</v>
      </c>
      <c r="J13" s="13">
        <v>41.18</v>
      </c>
      <c r="K13" s="13">
        <v>41.78</v>
      </c>
      <c r="L13" s="13">
        <v>43.94</v>
      </c>
      <c r="M13" s="14">
        <v>166.51</v>
      </c>
      <c r="N13" s="13">
        <v>43.1</v>
      </c>
      <c r="O13" s="13">
        <v>44.81</v>
      </c>
      <c r="P13" s="13">
        <v>45.49</v>
      </c>
      <c r="Q13" s="13">
        <v>47.81</v>
      </c>
      <c r="R13" s="14">
        <v>181.21</v>
      </c>
      <c r="S13" s="13">
        <v>47.07</v>
      </c>
      <c r="T13" s="13">
        <v>48.94</v>
      </c>
      <c r="U13" s="13">
        <v>49.6</v>
      </c>
      <c r="V13" s="13">
        <v>52.22</v>
      </c>
      <c r="W13" s="14">
        <v>197.83</v>
      </c>
    </row>
    <row r="14" spans="1:23">
      <c r="A14" s="8" t="s">
        <v>72</v>
      </c>
      <c r="B14" s="27" t="s">
        <v>73</v>
      </c>
      <c r="C14" s="28"/>
      <c r="D14" s="13">
        <v>1972.44</v>
      </c>
      <c r="E14" s="13">
        <v>2043.97</v>
      </c>
      <c r="F14" s="13">
        <v>2074.16</v>
      </c>
      <c r="G14" s="13">
        <v>2183.3200000000002</v>
      </c>
      <c r="H14" s="14">
        <v>8273.89</v>
      </c>
      <c r="I14" s="13">
        <v>2096.09</v>
      </c>
      <c r="J14" s="13">
        <v>2172.11</v>
      </c>
      <c r="K14" s="13">
        <v>2205.9499999999998</v>
      </c>
      <c r="L14" s="13">
        <v>2320.19</v>
      </c>
      <c r="M14" s="14">
        <v>8794.34</v>
      </c>
      <c r="N14" s="13">
        <v>2253.5</v>
      </c>
      <c r="O14" s="13">
        <v>2335.23</v>
      </c>
      <c r="P14" s="13">
        <v>2373.4899999999998</v>
      </c>
      <c r="Q14" s="13">
        <v>2494.4299999999998</v>
      </c>
      <c r="R14" s="14">
        <v>9456.65</v>
      </c>
      <c r="S14" s="13">
        <v>2431.81</v>
      </c>
      <c r="T14" s="13">
        <v>2520.0100000000002</v>
      </c>
      <c r="U14" s="13">
        <v>2557.2199999999998</v>
      </c>
      <c r="V14" s="13">
        <v>2691.81</v>
      </c>
      <c r="W14" s="14">
        <v>10200.85</v>
      </c>
    </row>
    <row r="15" spans="1:23">
      <c r="A15" s="8" t="s">
        <v>74</v>
      </c>
      <c r="B15" s="27" t="s">
        <v>75</v>
      </c>
      <c r="C15" s="28"/>
      <c r="D15" s="13">
        <v>2386.83</v>
      </c>
      <c r="E15" s="13">
        <v>2480.8000000000002</v>
      </c>
      <c r="F15" s="13">
        <v>2520.5</v>
      </c>
      <c r="G15" s="13">
        <v>2653.15</v>
      </c>
      <c r="H15" s="14">
        <v>10041.280000000001</v>
      </c>
      <c r="I15" s="13">
        <v>2544.02</v>
      </c>
      <c r="J15" s="13">
        <v>2644.17</v>
      </c>
      <c r="K15" s="13">
        <v>2688.62</v>
      </c>
      <c r="L15" s="13">
        <v>2827.88</v>
      </c>
      <c r="M15" s="14">
        <v>10704.69</v>
      </c>
      <c r="N15" s="13">
        <v>2743.28</v>
      </c>
      <c r="O15" s="13">
        <v>2851.28</v>
      </c>
      <c r="P15" s="13">
        <v>2901.52</v>
      </c>
      <c r="Q15" s="13">
        <v>3049.37</v>
      </c>
      <c r="R15" s="14">
        <v>11545.45</v>
      </c>
      <c r="S15" s="13">
        <v>2969.32</v>
      </c>
      <c r="T15" s="13">
        <v>3086.22</v>
      </c>
      <c r="U15" s="13">
        <v>3135.61</v>
      </c>
      <c r="V15" s="13">
        <v>3300.64</v>
      </c>
      <c r="W15" s="14">
        <v>12491.79</v>
      </c>
    </row>
    <row r="16" spans="1:23">
      <c r="A16" s="8" t="s">
        <v>78</v>
      </c>
      <c r="B16" s="27" t="s">
        <v>79</v>
      </c>
      <c r="C16" s="28"/>
      <c r="D16" s="13">
        <v>1004.34</v>
      </c>
      <c r="E16" s="13">
        <v>1040.42</v>
      </c>
      <c r="F16" s="13">
        <v>1058.3599999999999</v>
      </c>
      <c r="G16" s="13">
        <v>1114.07</v>
      </c>
      <c r="H16" s="14">
        <v>4217.1899999999996</v>
      </c>
      <c r="I16" s="13">
        <v>1073.69</v>
      </c>
      <c r="J16" s="13">
        <v>1112.26</v>
      </c>
      <c r="K16" s="13">
        <v>1132.3399999999999</v>
      </c>
      <c r="L16" s="13">
        <v>1190.99</v>
      </c>
      <c r="M16" s="14">
        <v>4509.28</v>
      </c>
      <c r="N16" s="13">
        <v>1161.27</v>
      </c>
      <c r="O16" s="13">
        <v>1202.98</v>
      </c>
      <c r="P16" s="13">
        <v>1225.67</v>
      </c>
      <c r="Q16" s="13">
        <v>1288.1300000000001</v>
      </c>
      <c r="R16" s="14">
        <v>4878.05</v>
      </c>
      <c r="S16" s="13">
        <v>1260.74</v>
      </c>
      <c r="T16" s="13">
        <v>1306.03</v>
      </c>
      <c r="U16" s="13">
        <v>1328.55</v>
      </c>
      <c r="V16" s="13">
        <v>1398.47</v>
      </c>
      <c r="W16" s="14">
        <v>5293.79</v>
      </c>
    </row>
    <row r="17" spans="1:23">
      <c r="A17" s="8" t="s">
        <v>8</v>
      </c>
      <c r="B17" s="27" t="s">
        <v>86</v>
      </c>
      <c r="C17" s="28"/>
      <c r="D17" s="13">
        <v>481.73</v>
      </c>
      <c r="E17" s="13">
        <v>499.81</v>
      </c>
      <c r="F17" s="13">
        <v>506.58</v>
      </c>
      <c r="G17" s="13">
        <v>533.24</v>
      </c>
      <c r="H17" s="14">
        <v>2021.36</v>
      </c>
      <c r="I17" s="13">
        <v>516.54999999999995</v>
      </c>
      <c r="J17" s="13">
        <v>535.92999999999995</v>
      </c>
      <c r="K17" s="13">
        <v>543.62</v>
      </c>
      <c r="L17" s="13">
        <v>571.78</v>
      </c>
      <c r="M17" s="19">
        <v>2167.88</v>
      </c>
      <c r="N17" s="13">
        <v>560.36</v>
      </c>
      <c r="O17" s="13">
        <v>581.39</v>
      </c>
      <c r="P17" s="13">
        <v>590.20000000000005</v>
      </c>
      <c r="Q17" s="13">
        <v>620.27</v>
      </c>
      <c r="R17" s="14">
        <v>2352.2199999999998</v>
      </c>
      <c r="S17" s="13">
        <v>610.17999999999995</v>
      </c>
      <c r="T17" s="13">
        <v>633.08000000000004</v>
      </c>
      <c r="U17" s="13">
        <v>641.65</v>
      </c>
      <c r="V17" s="13">
        <v>675.42</v>
      </c>
      <c r="W17" s="14">
        <v>2560.33</v>
      </c>
    </row>
    <row r="18" spans="1:23">
      <c r="A18" s="8" t="s">
        <v>89</v>
      </c>
      <c r="B18" s="27" t="s">
        <v>90</v>
      </c>
      <c r="C18" s="28"/>
      <c r="D18" s="13">
        <v>1121.8499999999999</v>
      </c>
      <c r="E18" s="13">
        <v>1167.43</v>
      </c>
      <c r="F18" s="13">
        <v>1184.68</v>
      </c>
      <c r="G18" s="13">
        <v>1247.03</v>
      </c>
      <c r="H18" s="14">
        <v>4720.99</v>
      </c>
      <c r="I18" s="13">
        <v>1206.57</v>
      </c>
      <c r="J18" s="13">
        <v>1255.5999999999999</v>
      </c>
      <c r="K18" s="13">
        <v>1275.1600000000001</v>
      </c>
      <c r="L18" s="13">
        <v>1341.2</v>
      </c>
      <c r="M18" s="14">
        <v>5078.53</v>
      </c>
      <c r="N18" s="13">
        <v>1312.84</v>
      </c>
      <c r="O18" s="13">
        <v>1366.19</v>
      </c>
      <c r="P18" s="13">
        <v>1388.57</v>
      </c>
      <c r="Q18" s="13">
        <v>1459.33</v>
      </c>
      <c r="R18" s="14">
        <v>5526.93</v>
      </c>
      <c r="S18" s="13">
        <v>1433.83</v>
      </c>
      <c r="T18" s="13">
        <v>1492.09</v>
      </c>
      <c r="U18" s="13">
        <v>1514.12</v>
      </c>
      <c r="V18" s="13">
        <v>1593.81</v>
      </c>
      <c r="W18" s="14">
        <v>6033.85</v>
      </c>
    </row>
    <row r="19" spans="1:23">
      <c r="A19" s="8" t="s">
        <v>91</v>
      </c>
      <c r="B19" s="27" t="s">
        <v>92</v>
      </c>
      <c r="C19" s="28"/>
      <c r="D19" s="13">
        <v>656.62</v>
      </c>
      <c r="E19" s="13">
        <v>681.04</v>
      </c>
      <c r="F19" s="13">
        <v>691.94</v>
      </c>
      <c r="G19" s="13">
        <v>728.36</v>
      </c>
      <c r="H19" s="14">
        <v>2757.96</v>
      </c>
      <c r="I19" s="13">
        <v>697.79</v>
      </c>
      <c r="J19" s="13">
        <v>723.74</v>
      </c>
      <c r="K19" s="13">
        <v>735.9</v>
      </c>
      <c r="L19" s="13">
        <v>774.02</v>
      </c>
      <c r="M19" s="14">
        <v>2931.45</v>
      </c>
      <c r="N19" s="13">
        <v>750.19</v>
      </c>
      <c r="O19" s="13">
        <v>778.09</v>
      </c>
      <c r="P19" s="13">
        <v>791.8</v>
      </c>
      <c r="Q19" s="13">
        <v>832.14</v>
      </c>
      <c r="R19" s="14">
        <v>3152.22</v>
      </c>
      <c r="S19" s="13">
        <v>809.55</v>
      </c>
      <c r="T19" s="13">
        <v>839.65</v>
      </c>
      <c r="U19" s="13">
        <v>853.09</v>
      </c>
      <c r="V19" s="13">
        <v>897.99</v>
      </c>
      <c r="W19" s="14">
        <v>3400.28</v>
      </c>
    </row>
    <row r="20" spans="1:23">
      <c r="A20" s="8" t="s">
        <v>97</v>
      </c>
      <c r="B20" s="27" t="s">
        <v>98</v>
      </c>
      <c r="C20" s="28"/>
      <c r="D20" s="13">
        <v>711.08</v>
      </c>
      <c r="E20" s="13">
        <v>735.08</v>
      </c>
      <c r="F20" s="13">
        <v>747.75</v>
      </c>
      <c r="G20" s="13">
        <v>787.1</v>
      </c>
      <c r="H20" s="14">
        <v>2981.01</v>
      </c>
      <c r="I20" s="13">
        <v>757.91</v>
      </c>
      <c r="J20" s="13">
        <v>783.49</v>
      </c>
      <c r="K20" s="13">
        <v>797.63</v>
      </c>
      <c r="L20" s="13">
        <v>838.93</v>
      </c>
      <c r="M20" s="14">
        <v>3177.96</v>
      </c>
      <c r="N20" s="13">
        <v>817.27</v>
      </c>
      <c r="O20" s="13">
        <v>844.85</v>
      </c>
      <c r="P20" s="13">
        <v>860.79</v>
      </c>
      <c r="Q20" s="13">
        <v>904.65</v>
      </c>
      <c r="R20" s="14">
        <v>3427.56</v>
      </c>
      <c r="S20" s="13">
        <v>884.61</v>
      </c>
      <c r="T20" s="13">
        <v>914.47</v>
      </c>
      <c r="U20" s="13">
        <v>930.23</v>
      </c>
      <c r="V20" s="13">
        <v>979.19</v>
      </c>
      <c r="W20" s="14">
        <v>3708.5</v>
      </c>
    </row>
    <row r="21" spans="1:23">
      <c r="A21" s="8" t="s">
        <v>99</v>
      </c>
      <c r="B21" s="27" t="s">
        <v>100</v>
      </c>
      <c r="C21" s="28"/>
      <c r="D21" s="13">
        <v>315.39</v>
      </c>
      <c r="E21" s="13">
        <v>328.6</v>
      </c>
      <c r="F21" s="13">
        <v>333.05</v>
      </c>
      <c r="G21" s="13">
        <v>350.59</v>
      </c>
      <c r="H21" s="14">
        <v>1327.63</v>
      </c>
      <c r="I21" s="13">
        <v>337.17</v>
      </c>
      <c r="J21" s="13">
        <v>351.3</v>
      </c>
      <c r="K21" s="13">
        <v>356.33</v>
      </c>
      <c r="L21" s="13">
        <v>374.79</v>
      </c>
      <c r="M21" s="14">
        <v>1419.59</v>
      </c>
      <c r="N21" s="13">
        <v>364.67</v>
      </c>
      <c r="O21" s="13">
        <v>379.95</v>
      </c>
      <c r="P21" s="13">
        <v>385.7</v>
      </c>
      <c r="Q21" s="13">
        <v>405.36</v>
      </c>
      <c r="R21" s="14">
        <v>1535.68</v>
      </c>
      <c r="S21" s="13">
        <v>395.91</v>
      </c>
      <c r="T21" s="13">
        <v>412.49</v>
      </c>
      <c r="U21" s="13">
        <v>418.08</v>
      </c>
      <c r="V21" s="13">
        <v>440.08</v>
      </c>
      <c r="W21" s="14">
        <v>1666.56</v>
      </c>
    </row>
    <row r="22" spans="1:23">
      <c r="A22" s="8" t="s">
        <v>101</v>
      </c>
      <c r="B22" s="27" t="s">
        <v>102</v>
      </c>
      <c r="C22" s="28"/>
      <c r="D22" s="13">
        <v>573.63</v>
      </c>
      <c r="E22" s="13">
        <v>595.67999999999995</v>
      </c>
      <c r="F22" s="13">
        <v>604.48</v>
      </c>
      <c r="G22" s="13">
        <v>636.29</v>
      </c>
      <c r="H22" s="14">
        <v>2410.08</v>
      </c>
      <c r="I22" s="13">
        <v>615.09</v>
      </c>
      <c r="J22" s="13">
        <v>638.73</v>
      </c>
      <c r="K22" s="13">
        <v>648.67999999999995</v>
      </c>
      <c r="L22" s="13">
        <v>682.28</v>
      </c>
      <c r="M22" s="14">
        <v>2584.7800000000002</v>
      </c>
      <c r="N22" s="13">
        <v>667.25</v>
      </c>
      <c r="O22" s="13">
        <v>692.91</v>
      </c>
      <c r="P22" s="13">
        <v>704.26</v>
      </c>
      <c r="Q22" s="13">
        <v>740.15</v>
      </c>
      <c r="R22" s="14">
        <v>2804.57</v>
      </c>
      <c r="S22" s="13">
        <v>726.58</v>
      </c>
      <c r="T22" s="13">
        <v>754.52</v>
      </c>
      <c r="U22" s="13">
        <v>765.66</v>
      </c>
      <c r="V22" s="13">
        <v>805.95</v>
      </c>
      <c r="W22" s="14">
        <v>3052.71</v>
      </c>
    </row>
    <row r="23" spans="1:23">
      <c r="A23" s="8" t="s">
        <v>103</v>
      </c>
      <c r="B23" s="27" t="s">
        <v>104</v>
      </c>
      <c r="C23" s="27"/>
      <c r="D23" s="20">
        <v>793.59</v>
      </c>
      <c r="E23" s="13">
        <v>821.37</v>
      </c>
      <c r="F23" s="13">
        <v>834.51</v>
      </c>
      <c r="G23" s="13">
        <v>878.44</v>
      </c>
      <c r="H23" s="14">
        <v>3327.91</v>
      </c>
      <c r="I23" s="13">
        <v>853.52</v>
      </c>
      <c r="J23" s="13">
        <v>883.4</v>
      </c>
      <c r="K23" s="13">
        <v>898.25</v>
      </c>
      <c r="L23" s="13">
        <v>944.78</v>
      </c>
      <c r="M23" s="14">
        <v>3579.95</v>
      </c>
      <c r="N23" s="13">
        <v>928.69</v>
      </c>
      <c r="O23" s="13">
        <v>961.21</v>
      </c>
      <c r="P23" s="13">
        <v>978.14</v>
      </c>
      <c r="Q23" s="13">
        <v>1027.99</v>
      </c>
      <c r="R23" s="14">
        <v>3896.03</v>
      </c>
      <c r="S23" s="13">
        <v>1014.28</v>
      </c>
      <c r="T23" s="13">
        <v>1049.79</v>
      </c>
      <c r="U23" s="13">
        <v>1066.5899999999999</v>
      </c>
      <c r="V23" s="13">
        <v>1122.71</v>
      </c>
      <c r="W23" s="14">
        <v>4253.37</v>
      </c>
    </row>
    <row r="24" spans="1:23">
      <c r="A24" s="8" t="s">
        <v>105</v>
      </c>
      <c r="B24" s="27" t="s">
        <v>106</v>
      </c>
      <c r="C24" s="27"/>
      <c r="D24" s="20">
        <v>318.52</v>
      </c>
      <c r="E24" s="13">
        <v>330.65</v>
      </c>
      <c r="F24" s="13">
        <v>336.35</v>
      </c>
      <c r="G24" s="13">
        <v>354.06</v>
      </c>
      <c r="H24" s="14">
        <v>1339.58</v>
      </c>
      <c r="I24" s="13">
        <v>338.49</v>
      </c>
      <c r="J24" s="13">
        <v>351.38</v>
      </c>
      <c r="K24" s="13">
        <v>357.73</v>
      </c>
      <c r="L24" s="13">
        <v>376.25</v>
      </c>
      <c r="M24" s="14">
        <v>1423.85</v>
      </c>
      <c r="N24" s="13">
        <v>363.9</v>
      </c>
      <c r="O24" s="13">
        <v>377.77</v>
      </c>
      <c r="P24" s="13">
        <v>384.9</v>
      </c>
      <c r="Q24" s="13">
        <v>404.51</v>
      </c>
      <c r="R24" s="14">
        <v>1531.08</v>
      </c>
      <c r="S24" s="13">
        <v>392.7</v>
      </c>
      <c r="T24" s="13">
        <v>407.66</v>
      </c>
      <c r="U24" s="13">
        <v>414.69</v>
      </c>
      <c r="V24" s="13">
        <v>436.52</v>
      </c>
      <c r="W24" s="14">
        <v>1651.57</v>
      </c>
    </row>
    <row r="25" spans="1:23">
      <c r="A25" s="8" t="s">
        <v>107</v>
      </c>
      <c r="B25" s="27" t="s">
        <v>108</v>
      </c>
      <c r="C25" s="27"/>
      <c r="D25" s="20">
        <v>149.33000000000001</v>
      </c>
      <c r="E25" s="13">
        <v>155.26</v>
      </c>
      <c r="F25" s="13">
        <v>157.36000000000001</v>
      </c>
      <c r="G25" s="13">
        <v>165.63</v>
      </c>
      <c r="H25" s="14">
        <v>627.58000000000004</v>
      </c>
      <c r="I25" s="13">
        <v>159.16</v>
      </c>
      <c r="J25" s="13">
        <v>165.48</v>
      </c>
      <c r="K25" s="13">
        <v>167.85</v>
      </c>
      <c r="L25" s="13">
        <v>176.55</v>
      </c>
      <c r="M25" s="14">
        <v>669.04</v>
      </c>
      <c r="N25" s="13">
        <v>171.63</v>
      </c>
      <c r="O25" s="13">
        <v>178.44</v>
      </c>
      <c r="P25" s="13">
        <v>181.15</v>
      </c>
      <c r="Q25" s="13">
        <v>190.37</v>
      </c>
      <c r="R25" s="14">
        <v>721.59</v>
      </c>
      <c r="S25" s="13">
        <v>185.77</v>
      </c>
      <c r="T25" s="13">
        <v>193.15</v>
      </c>
      <c r="U25" s="13">
        <v>195.76</v>
      </c>
      <c r="V25" s="13">
        <v>206.06</v>
      </c>
      <c r="W25" s="14">
        <v>780.74</v>
      </c>
    </row>
    <row r="26" spans="1:23">
      <c r="A26" s="34" t="s">
        <v>109</v>
      </c>
      <c r="B26" s="34"/>
      <c r="C26" s="34"/>
      <c r="D26" s="21">
        <v>18633.52</v>
      </c>
      <c r="E26" s="21">
        <v>19328.189999999999</v>
      </c>
      <c r="F26" s="21">
        <v>19627.63</v>
      </c>
      <c r="G26" s="21">
        <v>20660.66</v>
      </c>
      <c r="H26" s="21">
        <v>78250</v>
      </c>
      <c r="I26" s="21">
        <v>19894.03</v>
      </c>
      <c r="J26" s="21">
        <v>20635.66</v>
      </c>
      <c r="K26" s="21">
        <v>20972.05</v>
      </c>
      <c r="L26" s="21">
        <v>22058.27</v>
      </c>
      <c r="M26" s="21">
        <v>83560.009999999995</v>
      </c>
      <c r="N26" s="21">
        <v>21488.46</v>
      </c>
      <c r="O26" s="21">
        <v>22289.52</v>
      </c>
      <c r="P26" s="21">
        <v>22670.91</v>
      </c>
      <c r="Q26" s="21">
        <v>23826.12</v>
      </c>
      <c r="R26" s="21">
        <v>90275.01</v>
      </c>
      <c r="S26" s="21">
        <v>23298.53</v>
      </c>
      <c r="T26" s="21">
        <v>24167</v>
      </c>
      <c r="U26" s="21">
        <v>24541.43</v>
      </c>
      <c r="V26" s="21">
        <v>25833.05</v>
      </c>
      <c r="W26" s="21">
        <v>97840.01</v>
      </c>
    </row>
    <row r="27" spans="1:23">
      <c r="A27" s="34" t="s">
        <v>110</v>
      </c>
      <c r="B27" s="34"/>
      <c r="C27" s="34"/>
      <c r="D27" s="21">
        <v>18633.52</v>
      </c>
      <c r="E27" s="21">
        <v>19328.189999999999</v>
      </c>
      <c r="F27" s="21">
        <v>19627.63</v>
      </c>
      <c r="G27" s="21">
        <v>20660.66</v>
      </c>
      <c r="H27" s="21">
        <v>78250</v>
      </c>
      <c r="I27" s="21">
        <v>19894.03</v>
      </c>
      <c r="J27" s="21">
        <v>20635.66</v>
      </c>
      <c r="K27" s="21">
        <v>20972.05</v>
      </c>
      <c r="L27" s="21">
        <v>22058.27</v>
      </c>
      <c r="M27" s="21">
        <v>83560.009999999995</v>
      </c>
      <c r="N27" s="21">
        <v>21488.46</v>
      </c>
      <c r="O27" s="21">
        <v>22289.52</v>
      </c>
      <c r="P27" s="21">
        <v>22670.91</v>
      </c>
      <c r="Q27" s="21">
        <v>23826.12</v>
      </c>
      <c r="R27" s="21">
        <v>90275.01</v>
      </c>
      <c r="S27" s="21">
        <v>23298.53</v>
      </c>
      <c r="T27" s="21">
        <v>24167</v>
      </c>
      <c r="U27" s="21">
        <v>24541.43</v>
      </c>
      <c r="V27" s="21">
        <v>25833.05</v>
      </c>
      <c r="W27" s="21">
        <v>97840.01</v>
      </c>
    </row>
    <row r="28" spans="1:23">
      <c r="A28" s="1"/>
      <c r="B28" s="1"/>
      <c r="C28" s="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1"/>
      <c r="B29" s="1"/>
      <c r="C29" s="1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">
      <c r="A30" s="29" t="s">
        <v>111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15">
      <c r="A31" s="30" t="s">
        <v>1</v>
      </c>
      <c r="B31" s="30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>
      <c r="A33" s="31" t="s">
        <v>2</v>
      </c>
      <c r="B33" s="32" t="s">
        <v>3</v>
      </c>
      <c r="C33" s="32"/>
      <c r="D33" s="33" t="s">
        <v>4</v>
      </c>
      <c r="E33" s="33"/>
      <c r="F33" s="33"/>
      <c r="G33" s="33"/>
      <c r="H33" s="33"/>
      <c r="I33" s="33" t="s">
        <v>5</v>
      </c>
      <c r="J33" s="33"/>
      <c r="K33" s="33"/>
      <c r="L33" s="33"/>
      <c r="M33" s="33"/>
      <c r="N33" s="33" t="s">
        <v>6</v>
      </c>
      <c r="O33" s="33"/>
      <c r="P33" s="33"/>
      <c r="Q33" s="33"/>
      <c r="R33" s="33"/>
      <c r="S33" s="33" t="s">
        <v>7</v>
      </c>
      <c r="T33" s="33"/>
      <c r="U33" s="33"/>
      <c r="V33" s="33"/>
      <c r="W33" s="33"/>
    </row>
    <row r="34" spans="1:23" ht="15">
      <c r="A34" s="31"/>
      <c r="B34" s="32"/>
      <c r="C34" s="32"/>
      <c r="D34" s="3" t="s">
        <v>8</v>
      </c>
      <c r="E34" s="3" t="s">
        <v>9</v>
      </c>
      <c r="F34" s="3" t="s">
        <v>10</v>
      </c>
      <c r="G34" s="3" t="s">
        <v>11</v>
      </c>
      <c r="H34" s="3" t="s">
        <v>128</v>
      </c>
      <c r="I34" s="3" t="s">
        <v>8</v>
      </c>
      <c r="J34" s="3" t="s">
        <v>9</v>
      </c>
      <c r="K34" s="3" t="s">
        <v>10</v>
      </c>
      <c r="L34" s="3" t="s">
        <v>11</v>
      </c>
      <c r="M34" s="3" t="s">
        <v>128</v>
      </c>
      <c r="N34" s="3" t="s">
        <v>8</v>
      </c>
      <c r="O34" s="3" t="s">
        <v>9</v>
      </c>
      <c r="P34" s="3" t="s">
        <v>10</v>
      </c>
      <c r="Q34" s="3" t="s">
        <v>11</v>
      </c>
      <c r="R34" s="3" t="s">
        <v>128</v>
      </c>
      <c r="S34" s="3" t="s">
        <v>8</v>
      </c>
      <c r="T34" s="3" t="s">
        <v>9</v>
      </c>
      <c r="U34" s="3" t="s">
        <v>10</v>
      </c>
      <c r="V34" s="3" t="s">
        <v>11</v>
      </c>
      <c r="W34" s="3" t="s">
        <v>128</v>
      </c>
    </row>
    <row r="35" spans="1:23">
      <c r="A35" s="1"/>
      <c r="B35" s="1"/>
      <c r="C35" s="1"/>
      <c r="D35" s="1"/>
      <c r="E35" s="1"/>
      <c r="F35" s="1"/>
      <c r="G35" s="1"/>
      <c r="H35" s="6"/>
      <c r="I35" s="1"/>
      <c r="J35" s="1"/>
      <c r="K35" s="1"/>
      <c r="L35" s="1"/>
      <c r="M35" s="6"/>
      <c r="N35" s="1"/>
      <c r="O35" s="1"/>
      <c r="P35" s="1"/>
      <c r="Q35" s="1"/>
      <c r="R35" s="6"/>
      <c r="S35" s="1"/>
      <c r="T35" s="1"/>
      <c r="U35" s="1"/>
      <c r="V35" s="1"/>
      <c r="W35" s="6"/>
    </row>
    <row r="36" spans="1:23">
      <c r="A36" s="4" t="s">
        <v>14</v>
      </c>
      <c r="B36" s="11"/>
      <c r="C36" s="4">
        <f>A36+1</f>
        <v>2</v>
      </c>
      <c r="D36" s="4">
        <f>C36+1</f>
        <v>3</v>
      </c>
      <c r="E36" s="4">
        <f t="shared" ref="E36:W36" si="1">D36+1</f>
        <v>4</v>
      </c>
      <c r="F36" s="4">
        <f t="shared" si="1"/>
        <v>5</v>
      </c>
      <c r="G36" s="4">
        <f t="shared" si="1"/>
        <v>6</v>
      </c>
      <c r="H36" s="7">
        <f t="shared" si="1"/>
        <v>7</v>
      </c>
      <c r="I36" s="4">
        <f t="shared" si="1"/>
        <v>8</v>
      </c>
      <c r="J36" s="4">
        <f t="shared" si="1"/>
        <v>9</v>
      </c>
      <c r="K36" s="4">
        <f t="shared" si="1"/>
        <v>10</v>
      </c>
      <c r="L36" s="4">
        <f t="shared" si="1"/>
        <v>11</v>
      </c>
      <c r="M36" s="7">
        <f t="shared" si="1"/>
        <v>12</v>
      </c>
      <c r="N36" s="4">
        <f t="shared" si="1"/>
        <v>13</v>
      </c>
      <c r="O36" s="4">
        <f t="shared" si="1"/>
        <v>14</v>
      </c>
      <c r="P36" s="4">
        <f t="shared" si="1"/>
        <v>15</v>
      </c>
      <c r="Q36" s="4">
        <f t="shared" si="1"/>
        <v>16</v>
      </c>
      <c r="R36" s="7">
        <f t="shared" si="1"/>
        <v>17</v>
      </c>
      <c r="S36" s="4">
        <f t="shared" si="1"/>
        <v>18</v>
      </c>
      <c r="T36" s="4">
        <f t="shared" si="1"/>
        <v>19</v>
      </c>
      <c r="U36" s="4">
        <f t="shared" si="1"/>
        <v>20</v>
      </c>
      <c r="V36" s="4">
        <f t="shared" si="1"/>
        <v>21</v>
      </c>
      <c r="W36" s="7">
        <f t="shared" si="1"/>
        <v>22</v>
      </c>
    </row>
    <row r="37" spans="1:23">
      <c r="A37" s="1"/>
      <c r="B37" s="1"/>
      <c r="C37" s="1"/>
      <c r="D37" s="1"/>
      <c r="E37" s="1"/>
      <c r="F37" s="1"/>
      <c r="G37" s="1"/>
      <c r="H37" s="6"/>
      <c r="I37" s="1"/>
      <c r="J37" s="1"/>
      <c r="K37" s="1"/>
      <c r="L37" s="1"/>
      <c r="M37" s="6"/>
      <c r="N37" s="1"/>
      <c r="O37" s="1"/>
      <c r="P37" s="1"/>
      <c r="Q37" s="1"/>
      <c r="R37" s="6"/>
      <c r="S37" s="1"/>
      <c r="T37" s="1"/>
      <c r="U37" s="1"/>
      <c r="V37" s="1"/>
      <c r="W37" s="6"/>
    </row>
    <row r="38" spans="1:23">
      <c r="A38" s="8" t="s">
        <v>12</v>
      </c>
      <c r="B38" s="27" t="s">
        <v>13</v>
      </c>
      <c r="C38" s="28"/>
      <c r="D38" s="13">
        <v>1408.77</v>
      </c>
      <c r="E38" s="13">
        <v>1467.79</v>
      </c>
      <c r="F38" s="13">
        <v>1487.66</v>
      </c>
      <c r="G38" s="13">
        <v>1565.94</v>
      </c>
      <c r="H38" s="14">
        <v>5930.16</v>
      </c>
      <c r="I38" s="13">
        <v>1458.61</v>
      </c>
      <c r="J38" s="13">
        <v>1519.72</v>
      </c>
      <c r="K38" s="13">
        <v>1541.52</v>
      </c>
      <c r="L38" s="13">
        <v>1621.36</v>
      </c>
      <c r="M38" s="14">
        <v>6141.21</v>
      </c>
      <c r="N38" s="13">
        <v>1525.52</v>
      </c>
      <c r="O38" s="13">
        <v>1589.43</v>
      </c>
      <c r="P38" s="13">
        <v>1613.51</v>
      </c>
      <c r="Q38" s="13">
        <v>1695.73</v>
      </c>
      <c r="R38" s="14">
        <v>6424.19</v>
      </c>
      <c r="S38" s="13">
        <v>1600.96</v>
      </c>
      <c r="T38" s="13">
        <v>1668.04</v>
      </c>
      <c r="U38" s="13">
        <v>1690.62</v>
      </c>
      <c r="V38" s="13">
        <v>1779.6</v>
      </c>
      <c r="W38" s="14">
        <v>6739.22</v>
      </c>
    </row>
    <row r="39" spans="1:23">
      <c r="A39" s="8" t="s">
        <v>27</v>
      </c>
      <c r="B39" s="27" t="s">
        <v>28</v>
      </c>
      <c r="C39" s="28"/>
      <c r="D39" s="13">
        <v>160.83000000000001</v>
      </c>
      <c r="E39" s="13">
        <v>167.01</v>
      </c>
      <c r="F39" s="13">
        <v>169.48</v>
      </c>
      <c r="G39" s="13">
        <v>178.39</v>
      </c>
      <c r="H39" s="14">
        <v>675.71</v>
      </c>
      <c r="I39" s="13">
        <v>166.85</v>
      </c>
      <c r="J39" s="13">
        <v>173.26</v>
      </c>
      <c r="K39" s="13">
        <v>175.96</v>
      </c>
      <c r="L39" s="13">
        <v>185.08</v>
      </c>
      <c r="M39" s="14">
        <v>701.15</v>
      </c>
      <c r="N39" s="13">
        <v>174.85</v>
      </c>
      <c r="O39" s="13">
        <v>181.57</v>
      </c>
      <c r="P39" s="13">
        <v>184.55</v>
      </c>
      <c r="Q39" s="13">
        <v>193.96</v>
      </c>
      <c r="R39" s="14">
        <v>734.93</v>
      </c>
      <c r="S39" s="13">
        <v>183.87</v>
      </c>
      <c r="T39" s="13">
        <v>190.94</v>
      </c>
      <c r="U39" s="13">
        <v>193.76</v>
      </c>
      <c r="V39" s="13">
        <v>203.95</v>
      </c>
      <c r="W39" s="14">
        <v>772.52</v>
      </c>
    </row>
    <row r="40" spans="1:23">
      <c r="A40" s="8" t="s">
        <v>34</v>
      </c>
      <c r="B40" s="27" t="s">
        <v>35</v>
      </c>
      <c r="C40" s="28"/>
      <c r="D40" s="13">
        <v>4217.05</v>
      </c>
      <c r="E40" s="13">
        <v>4364.6899999999996</v>
      </c>
      <c r="F40" s="13">
        <v>4434.53</v>
      </c>
      <c r="G40" s="13">
        <v>4667.9399999999996</v>
      </c>
      <c r="H40" s="14">
        <v>17684.21</v>
      </c>
      <c r="I40" s="13">
        <v>4383.72</v>
      </c>
      <c r="J40" s="13">
        <v>4537.2</v>
      </c>
      <c r="K40" s="13">
        <v>4613.4799999999996</v>
      </c>
      <c r="L40" s="13">
        <v>4852.43</v>
      </c>
      <c r="M40" s="14">
        <v>18386.830000000002</v>
      </c>
      <c r="N40" s="13">
        <v>4603.18</v>
      </c>
      <c r="O40" s="13">
        <v>4764.34</v>
      </c>
      <c r="P40" s="13">
        <v>4848.3</v>
      </c>
      <c r="Q40" s="13">
        <v>5095.3500000000004</v>
      </c>
      <c r="R40" s="14">
        <v>19311.169999999998</v>
      </c>
      <c r="S40" s="13">
        <v>4850.25</v>
      </c>
      <c r="T40" s="13">
        <v>5020.0600000000004</v>
      </c>
      <c r="U40" s="13">
        <v>5100.38</v>
      </c>
      <c r="V40" s="13">
        <v>5368.82</v>
      </c>
      <c r="W40" s="14">
        <v>20339.509999999998</v>
      </c>
    </row>
    <row r="41" spans="1:23">
      <c r="A41" s="8" t="s">
        <v>66</v>
      </c>
      <c r="B41" s="27" t="s">
        <v>67</v>
      </c>
      <c r="C41" s="28"/>
      <c r="D41" s="13">
        <v>39.92</v>
      </c>
      <c r="E41" s="13">
        <v>41.45</v>
      </c>
      <c r="F41" s="13">
        <v>42.16</v>
      </c>
      <c r="G41" s="13">
        <v>44.38</v>
      </c>
      <c r="H41" s="14">
        <v>167.91</v>
      </c>
      <c r="I41" s="13">
        <v>41.59</v>
      </c>
      <c r="J41" s="13">
        <v>43.17</v>
      </c>
      <c r="K41" s="13">
        <v>43.95</v>
      </c>
      <c r="L41" s="13">
        <v>46.23</v>
      </c>
      <c r="M41" s="14">
        <v>174.94</v>
      </c>
      <c r="N41" s="13">
        <v>43.76</v>
      </c>
      <c r="O41" s="13">
        <v>45.42</v>
      </c>
      <c r="P41" s="13">
        <v>46.28</v>
      </c>
      <c r="Q41" s="13">
        <v>48.64</v>
      </c>
      <c r="R41" s="14">
        <v>184.1</v>
      </c>
      <c r="S41" s="13">
        <v>46.2</v>
      </c>
      <c r="T41" s="13">
        <v>47.96</v>
      </c>
      <c r="U41" s="13">
        <v>48.78</v>
      </c>
      <c r="V41" s="13">
        <v>51.35</v>
      </c>
      <c r="W41" s="14">
        <v>194.29</v>
      </c>
    </row>
    <row r="42" spans="1:23">
      <c r="A42" s="8" t="s">
        <v>70</v>
      </c>
      <c r="B42" s="27" t="s">
        <v>71</v>
      </c>
      <c r="C42" s="28"/>
      <c r="D42" s="13">
        <v>26.88</v>
      </c>
      <c r="E42" s="13">
        <v>27.94</v>
      </c>
      <c r="F42" s="13">
        <v>28.32</v>
      </c>
      <c r="G42" s="13">
        <v>29.82</v>
      </c>
      <c r="H42" s="14">
        <v>112.96</v>
      </c>
      <c r="I42" s="13">
        <v>27.83</v>
      </c>
      <c r="J42" s="13">
        <v>28.93</v>
      </c>
      <c r="K42" s="13">
        <v>29.35</v>
      </c>
      <c r="L42" s="13">
        <v>30.87</v>
      </c>
      <c r="M42" s="14">
        <v>116.98</v>
      </c>
      <c r="N42" s="13">
        <v>29.11</v>
      </c>
      <c r="O42" s="13">
        <v>30.26</v>
      </c>
      <c r="P42" s="13">
        <v>30.72</v>
      </c>
      <c r="Q42" s="13">
        <v>32.28</v>
      </c>
      <c r="R42" s="14">
        <v>122.37</v>
      </c>
      <c r="S42" s="13">
        <v>30.54</v>
      </c>
      <c r="T42" s="13">
        <v>31.76</v>
      </c>
      <c r="U42" s="13">
        <v>32.19</v>
      </c>
      <c r="V42" s="13">
        <v>33.880000000000003</v>
      </c>
      <c r="W42" s="14">
        <v>128.37</v>
      </c>
    </row>
    <row r="43" spans="1:23">
      <c r="A43" s="8" t="s">
        <v>72</v>
      </c>
      <c r="B43" s="27" t="s">
        <v>73</v>
      </c>
      <c r="C43" s="28"/>
      <c r="D43" s="13">
        <v>1409.49</v>
      </c>
      <c r="E43" s="13">
        <v>1460.6</v>
      </c>
      <c r="F43" s="13">
        <v>1482.18</v>
      </c>
      <c r="G43" s="13">
        <v>1560.18</v>
      </c>
      <c r="H43" s="14">
        <v>5912.45</v>
      </c>
      <c r="I43" s="13">
        <v>1462.26</v>
      </c>
      <c r="J43" s="13">
        <v>1515.3</v>
      </c>
      <c r="K43" s="13">
        <v>1538.9</v>
      </c>
      <c r="L43" s="13">
        <v>1618.61</v>
      </c>
      <c r="M43" s="14">
        <v>6135.07</v>
      </c>
      <c r="N43" s="13">
        <v>1532.4</v>
      </c>
      <c r="O43" s="13">
        <v>1587.98</v>
      </c>
      <c r="P43" s="13">
        <v>1614</v>
      </c>
      <c r="Q43" s="13">
        <v>1696.24</v>
      </c>
      <c r="R43" s="14">
        <v>6430.62</v>
      </c>
      <c r="S43" s="13">
        <v>1611.42</v>
      </c>
      <c r="T43" s="13">
        <v>1669.87</v>
      </c>
      <c r="U43" s="13">
        <v>1694.53</v>
      </c>
      <c r="V43" s="13">
        <v>1783.71</v>
      </c>
      <c r="W43" s="14">
        <v>6759.53</v>
      </c>
    </row>
    <row r="44" spans="1:23">
      <c r="A44" s="8" t="s">
        <v>74</v>
      </c>
      <c r="B44" s="27" t="s">
        <v>75</v>
      </c>
      <c r="C44" s="28"/>
      <c r="D44" s="13">
        <v>1708.12</v>
      </c>
      <c r="E44" s="13">
        <v>1775.36</v>
      </c>
      <c r="F44" s="13">
        <v>1803.77</v>
      </c>
      <c r="G44" s="13">
        <v>1898.71</v>
      </c>
      <c r="H44" s="14">
        <v>7185.96</v>
      </c>
      <c r="I44" s="13">
        <v>1775.63</v>
      </c>
      <c r="J44" s="13">
        <v>1845.53</v>
      </c>
      <c r="K44" s="13">
        <v>1876.56</v>
      </c>
      <c r="L44" s="13">
        <v>1973.75</v>
      </c>
      <c r="M44" s="14">
        <v>7471.47</v>
      </c>
      <c r="N44" s="13">
        <v>1864.52</v>
      </c>
      <c r="O44" s="13">
        <v>1937.92</v>
      </c>
      <c r="P44" s="13">
        <v>1972.07</v>
      </c>
      <c r="Q44" s="13">
        <v>2072.5700000000002</v>
      </c>
      <c r="R44" s="14">
        <v>7847.08</v>
      </c>
      <c r="S44" s="13">
        <v>1964.59</v>
      </c>
      <c r="T44" s="13">
        <v>2041.94</v>
      </c>
      <c r="U44" s="13">
        <v>2074.61</v>
      </c>
      <c r="V44" s="13">
        <v>2183.8000000000002</v>
      </c>
      <c r="W44" s="14">
        <v>8264.94</v>
      </c>
    </row>
    <row r="45" spans="1:23">
      <c r="A45" s="8" t="s">
        <v>78</v>
      </c>
      <c r="B45" s="27" t="s">
        <v>79</v>
      </c>
      <c r="C45" s="28"/>
      <c r="D45" s="13">
        <v>719.82</v>
      </c>
      <c r="E45" s="13">
        <v>745.67</v>
      </c>
      <c r="F45" s="13">
        <v>758.53</v>
      </c>
      <c r="G45" s="13">
        <v>798.45</v>
      </c>
      <c r="H45" s="14">
        <v>3022.47</v>
      </c>
      <c r="I45" s="13">
        <v>749.77</v>
      </c>
      <c r="J45" s="13">
        <v>776.7</v>
      </c>
      <c r="K45" s="13">
        <v>790.72</v>
      </c>
      <c r="L45" s="13">
        <v>831.68</v>
      </c>
      <c r="M45" s="14">
        <v>3148.87</v>
      </c>
      <c r="N45" s="13">
        <v>788.88</v>
      </c>
      <c r="O45" s="13">
        <v>817.22</v>
      </c>
      <c r="P45" s="13">
        <v>832.63</v>
      </c>
      <c r="Q45" s="13">
        <v>875.07</v>
      </c>
      <c r="R45" s="14">
        <v>3313.8</v>
      </c>
      <c r="S45" s="13">
        <v>832.88</v>
      </c>
      <c r="T45" s="13">
        <v>862.8</v>
      </c>
      <c r="U45" s="13">
        <v>877.67</v>
      </c>
      <c r="V45" s="13">
        <v>923.87</v>
      </c>
      <c r="W45" s="14">
        <v>3497.22</v>
      </c>
    </row>
    <row r="46" spans="1:23">
      <c r="A46" s="8" t="s">
        <v>8</v>
      </c>
      <c r="B46" s="27" t="s">
        <v>86</v>
      </c>
      <c r="C46" s="28"/>
      <c r="D46" s="13">
        <v>349.96</v>
      </c>
      <c r="E46" s="13">
        <v>363.09</v>
      </c>
      <c r="F46" s="13">
        <v>368</v>
      </c>
      <c r="G46" s="13">
        <v>387.37</v>
      </c>
      <c r="H46" s="14">
        <v>1468.42</v>
      </c>
      <c r="I46" s="13">
        <v>362.34</v>
      </c>
      <c r="J46" s="13">
        <v>375.94</v>
      </c>
      <c r="K46" s="13">
        <v>381.33</v>
      </c>
      <c r="L46" s="13">
        <v>401.07</v>
      </c>
      <c r="M46" s="19">
        <v>1520.68</v>
      </c>
      <c r="N46" s="13">
        <v>378.96</v>
      </c>
      <c r="O46" s="13">
        <v>393.18</v>
      </c>
      <c r="P46" s="13">
        <v>399.14</v>
      </c>
      <c r="Q46" s="13">
        <v>419.47</v>
      </c>
      <c r="R46" s="14">
        <v>1590.75</v>
      </c>
      <c r="S46" s="13">
        <v>397.7</v>
      </c>
      <c r="T46" s="13">
        <v>412.63</v>
      </c>
      <c r="U46" s="13">
        <v>418.21</v>
      </c>
      <c r="V46" s="13">
        <v>440.22</v>
      </c>
      <c r="W46" s="14">
        <v>1668.76</v>
      </c>
    </row>
    <row r="47" spans="1:23">
      <c r="A47" s="8" t="s">
        <v>89</v>
      </c>
      <c r="B47" s="27" t="s">
        <v>90</v>
      </c>
      <c r="C47" s="28"/>
      <c r="D47" s="13">
        <v>816.23</v>
      </c>
      <c r="E47" s="13">
        <v>849.39</v>
      </c>
      <c r="F47" s="13">
        <v>861.93</v>
      </c>
      <c r="G47" s="13">
        <v>907.3</v>
      </c>
      <c r="H47" s="14">
        <v>3434.85</v>
      </c>
      <c r="I47" s="13">
        <v>846.79</v>
      </c>
      <c r="J47" s="13">
        <v>881.2</v>
      </c>
      <c r="K47" s="13">
        <v>894.92</v>
      </c>
      <c r="L47" s="13">
        <v>941.28</v>
      </c>
      <c r="M47" s="14">
        <v>3564.19</v>
      </c>
      <c r="N47" s="13">
        <v>887.41</v>
      </c>
      <c r="O47" s="13">
        <v>923.46</v>
      </c>
      <c r="P47" s="13">
        <v>938.6</v>
      </c>
      <c r="Q47" s="13">
        <v>986.42</v>
      </c>
      <c r="R47" s="14">
        <v>3735.89</v>
      </c>
      <c r="S47" s="13">
        <v>933.17</v>
      </c>
      <c r="T47" s="13">
        <v>971.08</v>
      </c>
      <c r="U47" s="13">
        <v>985.42</v>
      </c>
      <c r="V47" s="13">
        <v>1037.29</v>
      </c>
      <c r="W47" s="14">
        <v>3926.96</v>
      </c>
    </row>
    <row r="48" spans="1:23">
      <c r="A48" s="8" t="s">
        <v>91</v>
      </c>
      <c r="B48" s="27" t="s">
        <v>92</v>
      </c>
      <c r="C48" s="28"/>
      <c r="D48" s="13">
        <v>467.81</v>
      </c>
      <c r="E48" s="13">
        <v>485.21</v>
      </c>
      <c r="F48" s="13">
        <v>492.97</v>
      </c>
      <c r="G48" s="13">
        <v>518.91999999999996</v>
      </c>
      <c r="H48" s="14">
        <v>1964.91</v>
      </c>
      <c r="I48" s="13">
        <v>486.3</v>
      </c>
      <c r="J48" s="13">
        <v>504.39</v>
      </c>
      <c r="K48" s="13">
        <v>512.86</v>
      </c>
      <c r="L48" s="13">
        <v>539.42999999999995</v>
      </c>
      <c r="M48" s="14">
        <v>2042.98</v>
      </c>
      <c r="N48" s="13">
        <v>510.65</v>
      </c>
      <c r="O48" s="13">
        <v>529.64</v>
      </c>
      <c r="P48" s="13">
        <v>538.97</v>
      </c>
      <c r="Q48" s="13">
        <v>566.42999999999995</v>
      </c>
      <c r="R48" s="14">
        <v>2145.69</v>
      </c>
      <c r="S48" s="13">
        <v>538.05999999999995</v>
      </c>
      <c r="T48" s="13">
        <v>558.05999999999995</v>
      </c>
      <c r="U48" s="13">
        <v>566.99</v>
      </c>
      <c r="V48" s="13">
        <v>596.84</v>
      </c>
      <c r="W48" s="14">
        <v>2259.9499999999998</v>
      </c>
    </row>
    <row r="49" spans="1:23">
      <c r="A49" s="8" t="s">
        <v>97</v>
      </c>
      <c r="B49" s="27" t="s">
        <v>98</v>
      </c>
      <c r="C49" s="28"/>
      <c r="D49" s="13">
        <v>507.35</v>
      </c>
      <c r="E49" s="13">
        <v>524.47</v>
      </c>
      <c r="F49" s="13">
        <v>533.51</v>
      </c>
      <c r="G49" s="13">
        <v>561.59</v>
      </c>
      <c r="H49" s="14">
        <v>2126.92</v>
      </c>
      <c r="I49" s="13">
        <v>528.46</v>
      </c>
      <c r="J49" s="13">
        <v>546.29999999999995</v>
      </c>
      <c r="K49" s="13">
        <v>556.16</v>
      </c>
      <c r="L49" s="13">
        <v>584.95000000000005</v>
      </c>
      <c r="M49" s="14">
        <v>2215.87</v>
      </c>
      <c r="N49" s="13">
        <v>556.03</v>
      </c>
      <c r="O49" s="13">
        <v>574.79</v>
      </c>
      <c r="P49" s="13">
        <v>585.63</v>
      </c>
      <c r="Q49" s="13">
        <v>615.48</v>
      </c>
      <c r="R49" s="14">
        <v>2331.9299999999998</v>
      </c>
      <c r="S49" s="13">
        <v>587.04</v>
      </c>
      <c r="T49" s="13">
        <v>606.85</v>
      </c>
      <c r="U49" s="13">
        <v>617.30999999999995</v>
      </c>
      <c r="V49" s="13">
        <v>649.80999999999995</v>
      </c>
      <c r="W49" s="14">
        <v>2461.0100000000002</v>
      </c>
    </row>
    <row r="50" spans="1:23">
      <c r="A50" s="8" t="s">
        <v>99</v>
      </c>
      <c r="B50" s="27" t="s">
        <v>100</v>
      </c>
      <c r="C50" s="28"/>
      <c r="D50" s="13">
        <v>228.09</v>
      </c>
      <c r="E50" s="13">
        <v>237.64</v>
      </c>
      <c r="F50" s="13">
        <v>240.86</v>
      </c>
      <c r="G50" s="13">
        <v>253.53</v>
      </c>
      <c r="H50" s="14">
        <v>960.12</v>
      </c>
      <c r="I50" s="13">
        <v>236.16</v>
      </c>
      <c r="J50" s="13">
        <v>246.05</v>
      </c>
      <c r="K50" s="13">
        <v>249.58</v>
      </c>
      <c r="L50" s="13">
        <v>262.5</v>
      </c>
      <c r="M50" s="14">
        <v>994.29</v>
      </c>
      <c r="N50" s="13">
        <v>246.99</v>
      </c>
      <c r="O50" s="13">
        <v>257.33999999999997</v>
      </c>
      <c r="P50" s="13">
        <v>261.24</v>
      </c>
      <c r="Q50" s="13">
        <v>274.54000000000002</v>
      </c>
      <c r="R50" s="14">
        <v>1040.1099999999999</v>
      </c>
      <c r="S50" s="13">
        <v>259.2</v>
      </c>
      <c r="T50" s="13">
        <v>270.06</v>
      </c>
      <c r="U50" s="13">
        <v>273.72000000000003</v>
      </c>
      <c r="V50" s="13">
        <v>288.13</v>
      </c>
      <c r="W50" s="14">
        <v>1091.1099999999999</v>
      </c>
    </row>
    <row r="51" spans="1:23">
      <c r="A51" s="8" t="s">
        <v>101</v>
      </c>
      <c r="B51" s="27" t="s">
        <v>102</v>
      </c>
      <c r="C51" s="28"/>
      <c r="D51" s="13">
        <v>415.47</v>
      </c>
      <c r="E51" s="13">
        <v>431.44</v>
      </c>
      <c r="F51" s="13">
        <v>437.81</v>
      </c>
      <c r="G51" s="13">
        <v>460.86</v>
      </c>
      <c r="H51" s="14">
        <v>1745.58</v>
      </c>
      <c r="I51" s="13">
        <v>431.03</v>
      </c>
      <c r="J51" s="13">
        <v>447.6</v>
      </c>
      <c r="K51" s="13">
        <v>454.57</v>
      </c>
      <c r="L51" s="13">
        <v>478.11</v>
      </c>
      <c r="M51" s="14">
        <v>1811.31</v>
      </c>
      <c r="N51" s="13">
        <v>451.7</v>
      </c>
      <c r="O51" s="13">
        <v>469.06</v>
      </c>
      <c r="P51" s="13">
        <v>476.75</v>
      </c>
      <c r="Q51" s="13">
        <v>501.05</v>
      </c>
      <c r="R51" s="14">
        <v>1898.56</v>
      </c>
      <c r="S51" s="13">
        <v>474.99</v>
      </c>
      <c r="T51" s="13">
        <v>493.25</v>
      </c>
      <c r="U51" s="13">
        <v>500.54</v>
      </c>
      <c r="V51" s="13">
        <v>526.89</v>
      </c>
      <c r="W51" s="14">
        <v>1995.67</v>
      </c>
    </row>
    <row r="52" spans="1:23">
      <c r="A52" s="8" t="s">
        <v>103</v>
      </c>
      <c r="B52" s="27" t="s">
        <v>104</v>
      </c>
      <c r="C52" s="27"/>
      <c r="D52" s="20">
        <v>575.66</v>
      </c>
      <c r="E52" s="13">
        <v>595.80999999999995</v>
      </c>
      <c r="F52" s="13">
        <v>605.35</v>
      </c>
      <c r="G52" s="13">
        <v>637.21</v>
      </c>
      <c r="H52" s="14">
        <v>2414.0300000000002</v>
      </c>
      <c r="I52" s="13">
        <v>598.41</v>
      </c>
      <c r="J52" s="13">
        <v>619.36</v>
      </c>
      <c r="K52" s="13">
        <v>629.78</v>
      </c>
      <c r="L52" s="13">
        <v>662.4</v>
      </c>
      <c r="M52" s="14">
        <v>2509.9499999999998</v>
      </c>
      <c r="N52" s="13">
        <v>628.37</v>
      </c>
      <c r="O52" s="13">
        <v>650.37</v>
      </c>
      <c r="P52" s="13">
        <v>661.83</v>
      </c>
      <c r="Q52" s="13">
        <v>695.56</v>
      </c>
      <c r="R52" s="14">
        <v>2636.13</v>
      </c>
      <c r="S52" s="13">
        <v>662.1</v>
      </c>
      <c r="T52" s="13">
        <v>685.28</v>
      </c>
      <c r="U52" s="13">
        <v>696.24</v>
      </c>
      <c r="V52" s="13">
        <v>732.88</v>
      </c>
      <c r="W52" s="14">
        <v>2776.5</v>
      </c>
    </row>
    <row r="53" spans="1:23">
      <c r="A53" s="8" t="s">
        <v>105</v>
      </c>
      <c r="B53" s="27" t="s">
        <v>106</v>
      </c>
      <c r="C53" s="27"/>
      <c r="D53" s="20">
        <v>226.25</v>
      </c>
      <c r="E53" s="13">
        <v>234.87</v>
      </c>
      <c r="F53" s="13">
        <v>238.92</v>
      </c>
      <c r="G53" s="13">
        <v>251.48</v>
      </c>
      <c r="H53" s="14">
        <v>951.52</v>
      </c>
      <c r="I53" s="13">
        <v>235.66</v>
      </c>
      <c r="J53" s="13">
        <v>244.64</v>
      </c>
      <c r="K53" s="13">
        <v>249.06</v>
      </c>
      <c r="L53" s="13">
        <v>261.95</v>
      </c>
      <c r="M53" s="14">
        <v>991.31</v>
      </c>
      <c r="N53" s="13">
        <v>247.95</v>
      </c>
      <c r="O53" s="13">
        <v>257.39999999999998</v>
      </c>
      <c r="P53" s="13">
        <v>262.26</v>
      </c>
      <c r="Q53" s="13">
        <v>275.62</v>
      </c>
      <c r="R53" s="14">
        <v>1043.23</v>
      </c>
      <c r="S53" s="13">
        <v>261.77999999999997</v>
      </c>
      <c r="T53" s="13">
        <v>271.76</v>
      </c>
      <c r="U53" s="13">
        <v>276.44</v>
      </c>
      <c r="V53" s="13">
        <v>291</v>
      </c>
      <c r="W53" s="14">
        <v>1100.98</v>
      </c>
    </row>
    <row r="54" spans="1:23">
      <c r="A54" s="8" t="s">
        <v>107</v>
      </c>
      <c r="B54" s="27" t="s">
        <v>108</v>
      </c>
      <c r="C54" s="27"/>
      <c r="D54" s="20">
        <v>107.51</v>
      </c>
      <c r="E54" s="13">
        <v>111.77</v>
      </c>
      <c r="F54" s="13">
        <v>113.29</v>
      </c>
      <c r="G54" s="13">
        <v>119.25</v>
      </c>
      <c r="H54" s="14">
        <v>451.82</v>
      </c>
      <c r="I54" s="13">
        <v>111.31</v>
      </c>
      <c r="J54" s="13">
        <v>115.73</v>
      </c>
      <c r="K54" s="13">
        <v>117.39</v>
      </c>
      <c r="L54" s="13">
        <v>123.47</v>
      </c>
      <c r="M54" s="14">
        <v>467.9</v>
      </c>
      <c r="N54" s="13">
        <v>116.42</v>
      </c>
      <c r="O54" s="13">
        <v>121.04</v>
      </c>
      <c r="P54" s="13">
        <v>122.87</v>
      </c>
      <c r="Q54" s="13">
        <v>129.13</v>
      </c>
      <c r="R54" s="14">
        <v>489.46</v>
      </c>
      <c r="S54" s="13">
        <v>122.17</v>
      </c>
      <c r="T54" s="13">
        <v>127.02</v>
      </c>
      <c r="U54" s="13">
        <v>128.74</v>
      </c>
      <c r="V54" s="13">
        <v>135.53</v>
      </c>
      <c r="W54" s="14">
        <v>513.46</v>
      </c>
    </row>
    <row r="55" spans="1:23">
      <c r="A55" s="34" t="s">
        <v>109</v>
      </c>
      <c r="B55" s="34"/>
      <c r="C55" s="34"/>
      <c r="D55" s="21">
        <v>13385.21</v>
      </c>
      <c r="E55" s="21">
        <v>13884.2</v>
      </c>
      <c r="F55" s="21">
        <v>14099.27</v>
      </c>
      <c r="G55" s="21">
        <v>14841.32</v>
      </c>
      <c r="H55" s="21">
        <v>56210</v>
      </c>
      <c r="I55" s="21">
        <v>13902.72</v>
      </c>
      <c r="J55" s="21">
        <v>14421.02</v>
      </c>
      <c r="K55" s="21">
        <v>14656.09</v>
      </c>
      <c r="L55" s="21">
        <v>15415.17</v>
      </c>
      <c r="M55" s="21">
        <v>58395</v>
      </c>
      <c r="N55" s="21">
        <v>14586.7</v>
      </c>
      <c r="O55" s="21">
        <v>15130.42</v>
      </c>
      <c r="P55" s="21">
        <v>15389.35</v>
      </c>
      <c r="Q55" s="21">
        <v>16173.54</v>
      </c>
      <c r="R55" s="21">
        <v>61280.01</v>
      </c>
      <c r="S55" s="21">
        <v>15356.92</v>
      </c>
      <c r="T55" s="21">
        <v>15929.36</v>
      </c>
      <c r="U55" s="21">
        <v>16176.15</v>
      </c>
      <c r="V55" s="21">
        <v>17027.57</v>
      </c>
      <c r="W55" s="21">
        <v>64490</v>
      </c>
    </row>
    <row r="56" spans="1:23">
      <c r="A56" s="34" t="s">
        <v>110</v>
      </c>
      <c r="B56" s="34"/>
      <c r="C56" s="34"/>
      <c r="D56" s="21">
        <v>13385.21</v>
      </c>
      <c r="E56" s="21">
        <v>13884.2</v>
      </c>
      <c r="F56" s="21">
        <v>14099.27</v>
      </c>
      <c r="G56" s="21">
        <v>14841.32</v>
      </c>
      <c r="H56" s="21">
        <v>56210</v>
      </c>
      <c r="I56" s="21">
        <v>13902.72</v>
      </c>
      <c r="J56" s="21">
        <v>14421.02</v>
      </c>
      <c r="K56" s="21">
        <v>14656.09</v>
      </c>
      <c r="L56" s="21">
        <v>15415.17</v>
      </c>
      <c r="M56" s="21">
        <v>58395</v>
      </c>
      <c r="N56" s="21">
        <v>14586.7</v>
      </c>
      <c r="O56" s="21">
        <v>15130.42</v>
      </c>
      <c r="P56" s="21">
        <v>15389.35</v>
      </c>
      <c r="Q56" s="21">
        <v>16173.54</v>
      </c>
      <c r="R56" s="21">
        <v>61280.01</v>
      </c>
      <c r="S56" s="21">
        <v>15356.92</v>
      </c>
      <c r="T56" s="21">
        <v>15929.36</v>
      </c>
      <c r="U56" s="21">
        <v>16176.15</v>
      </c>
      <c r="V56" s="21">
        <v>17027.57</v>
      </c>
      <c r="W56" s="21">
        <v>64490</v>
      </c>
    </row>
  </sheetData>
  <mergeCells count="54">
    <mergeCell ref="A56:C56"/>
    <mergeCell ref="B50:C50"/>
    <mergeCell ref="B51:C51"/>
    <mergeCell ref="B52:C52"/>
    <mergeCell ref="B53:C53"/>
    <mergeCell ref="B54:C54"/>
    <mergeCell ref="A55:C55"/>
    <mergeCell ref="B44:C44"/>
    <mergeCell ref="B45:C45"/>
    <mergeCell ref="B46:C46"/>
    <mergeCell ref="B47:C47"/>
    <mergeCell ref="B48:C48"/>
    <mergeCell ref="B49:C49"/>
    <mergeCell ref="B38:C38"/>
    <mergeCell ref="B39:C39"/>
    <mergeCell ref="B40:C40"/>
    <mergeCell ref="B41:C41"/>
    <mergeCell ref="B42:C42"/>
    <mergeCell ref="B43:C43"/>
    <mergeCell ref="A27:C27"/>
    <mergeCell ref="A30:W30"/>
    <mergeCell ref="A31:B31"/>
    <mergeCell ref="A33:A34"/>
    <mergeCell ref="B33:C34"/>
    <mergeCell ref="D33:H33"/>
    <mergeCell ref="I33:M33"/>
    <mergeCell ref="N33:R33"/>
    <mergeCell ref="S33:W33"/>
    <mergeCell ref="B21:C21"/>
    <mergeCell ref="B22:C22"/>
    <mergeCell ref="B23:C23"/>
    <mergeCell ref="B24:C24"/>
    <mergeCell ref="B25:C25"/>
    <mergeCell ref="A26:C26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A1:W1"/>
    <mergeCell ref="A2:B2"/>
    <mergeCell ref="A4:A5"/>
    <mergeCell ref="B4:C5"/>
    <mergeCell ref="D4:H4"/>
    <mergeCell ref="I4:M4"/>
    <mergeCell ref="N4:R4"/>
    <mergeCell ref="S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Petunjuk</vt:lpstr>
      <vt:lpstr>Template 1</vt:lpstr>
      <vt:lpstr>Template 2</vt:lpstr>
      <vt:lpstr>Contoh Data 1</vt:lpstr>
      <vt:lpstr>Contoh 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Rafly Priyantama</cp:lastModifiedBy>
  <dcterms:modified xsi:type="dcterms:W3CDTF">2026-07-07T01:33:36Z</dcterms:modified>
</cp:coreProperties>
</file>